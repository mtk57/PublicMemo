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3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C:\_git\PublicMemo\VBA\AutoWorker\Worker01\"/>
    </mc:Choice>
  </mc:AlternateContent>
  <xr:revisionPtr revIDLastSave="0" documentId="13_ncr:1_{AA97EF5F-9E30-4185-A803-21B5D3C36AEC}" xr6:coauthVersionLast="47" xr6:coauthVersionMax="47" xr10:uidLastSave="{00000000-0000-0000-0000-000000000000}"/>
  <bookViews>
    <workbookView minimized="1" xWindow="0" yWindow="0" windowWidth="8198" windowHeight="14235" activeTab="1" xr2:uid="{00000000-000D-0000-FFFF-FFFF00000000}"/>
  </bookViews>
  <sheets>
    <sheet name="params" sheetId="1" r:id="rId1"/>
    <sheet name="main" sheetId="2" r:id="rId2"/>
    <sheet name="danger_zone" sheetId="3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23" i="1" l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J41" i="1"/>
  <c r="J40" i="1"/>
  <c r="J39" i="1"/>
  <c r="J38" i="1"/>
  <c r="J37" i="1"/>
  <c r="J36" i="1"/>
  <c r="J35" i="1"/>
  <c r="J34" i="1"/>
  <c r="J33" i="1"/>
  <c r="J32" i="1"/>
  <c r="J31" i="1"/>
  <c r="J30" i="1"/>
  <c r="J29" i="1"/>
  <c r="J28" i="1"/>
  <c r="J27" i="1"/>
  <c r="J26" i="1"/>
  <c r="J25" i="1"/>
  <c r="J24" i="1"/>
  <c r="J23" i="1"/>
  <c r="J22" i="1"/>
  <c r="I41" i="1"/>
  <c r="H41" i="1"/>
  <c r="I40" i="1"/>
  <c r="H40" i="1"/>
  <c r="I39" i="1"/>
  <c r="H39" i="1"/>
  <c r="I38" i="1"/>
  <c r="H38" i="1"/>
  <c r="I37" i="1"/>
  <c r="H37" i="1"/>
  <c r="I36" i="1"/>
  <c r="H36" i="1"/>
  <c r="I35" i="1"/>
  <c r="H35" i="1"/>
  <c r="I34" i="1"/>
  <c r="H34" i="1"/>
  <c r="I33" i="1"/>
  <c r="H33" i="1"/>
  <c r="I32" i="1"/>
  <c r="H32" i="1"/>
  <c r="I31" i="1"/>
  <c r="H31" i="1"/>
  <c r="I30" i="1"/>
  <c r="H30" i="1"/>
  <c r="I29" i="1"/>
  <c r="H29" i="1"/>
  <c r="I28" i="1"/>
  <c r="H28" i="1"/>
  <c r="I27" i="1"/>
  <c r="H27" i="1"/>
  <c r="I26" i="1"/>
  <c r="H26" i="1"/>
  <c r="I25" i="1"/>
  <c r="H25" i="1"/>
  <c r="I24" i="1"/>
  <c r="H24" i="1"/>
  <c r="I23" i="1"/>
  <c r="I22" i="1"/>
  <c r="H23" i="1"/>
  <c r="H22" i="1"/>
</calcChain>
</file>

<file path=xl/sharedStrings.xml><?xml version="1.0" encoding="utf-8"?>
<sst xmlns="http://schemas.openxmlformats.org/spreadsheetml/2006/main" count="71" uniqueCount="58">
  <si>
    <t>デバッグログ出力</t>
    <phoneticPr fontId="1"/>
  </si>
  <si>
    <t>末尾に"\"禁止。存在しない場合は作成する。</t>
    <rPh sb="0" eb="2">
      <t>マツビ</t>
    </rPh>
    <rPh sb="6" eb="8">
      <t>キンシ</t>
    </rPh>
    <rPh sb="9" eb="11">
      <t>ソンザイ</t>
    </rPh>
    <rPh sb="14" eb="16">
      <t>バアイ</t>
    </rPh>
    <rPh sb="17" eb="19">
      <t>サクセイ</t>
    </rPh>
    <phoneticPr fontId="1"/>
  </si>
  <si>
    <t>memo</t>
    <phoneticPr fontId="1"/>
  </si>
  <si>
    <t>C:\_git\PublicMemo\VBA\VBプロジェクトコレクター\VBProjCollector.xlsm</t>
    <phoneticPr fontId="1"/>
  </si>
  <si>
    <t>★=必須</t>
    <rPh sb="2" eb="4">
      <t>ヒッス</t>
    </rPh>
    <phoneticPr fontId="1"/>
  </si>
  <si>
    <t>PID_1</t>
    <phoneticPr fontId="1"/>
  </si>
  <si>
    <t>PID_2</t>
    <phoneticPr fontId="1"/>
  </si>
  <si>
    <t>develop</t>
    <phoneticPr fontId="1"/>
  </si>
  <si>
    <t>https://github.com/mtk57/GIT_0020</t>
    <phoneticPr fontId="1"/>
  </si>
  <si>
    <t>①外部ツールファイルパス(絶対パス) ★</t>
    <phoneticPr fontId="1"/>
  </si>
  <si>
    <t>②VBプロジェクトファイルを収集するフォルダパス(絶対パス) ★</t>
    <rPh sb="14" eb="16">
      <t>シュウシュウ</t>
    </rPh>
    <phoneticPr fontId="1"/>
  </si>
  <si>
    <t>(A)GitリポジトリURL</t>
    <phoneticPr fontId="1"/>
  </si>
  <si>
    <t>(B)Gitフォルダパス(絶対パス) ★</t>
    <phoneticPr fontId="1"/>
  </si>
  <si>
    <t>(D)ベースブランチ名 ★</t>
    <rPh sb="10" eb="11">
      <t>メイ</t>
    </rPh>
    <phoneticPr fontId="1"/>
  </si>
  <si>
    <t>(C)起点フォルダ名★</t>
    <rPh sb="3" eb="5">
      <t>キテン</t>
    </rPh>
    <rPh sb="9" eb="10">
      <t>メイ</t>
    </rPh>
    <phoneticPr fontId="1"/>
  </si>
  <si>
    <t>未指定の場合はクローン済とみなす。</t>
    <rPh sb="0" eb="3">
      <t>ミシテイ</t>
    </rPh>
    <rPh sb="4" eb="6">
      <t>バアイ</t>
    </rPh>
    <rPh sb="11" eb="12">
      <t>スミ</t>
    </rPh>
    <phoneticPr fontId="1"/>
  </si>
  <si>
    <t>②から(C)のフォルダ配下を(B)にコピーする。</t>
    <rPh sb="11" eb="13">
      <t>ハイカ</t>
    </rPh>
    <phoneticPr fontId="1"/>
  </si>
  <si>
    <t>1</t>
    <phoneticPr fontId="1"/>
  </si>
  <si>
    <t>C:\_tmp\Worker01_wk</t>
    <phoneticPr fontId="1"/>
  </si>
  <si>
    <t>C:\_git_wk\GIT_0020</t>
    <phoneticPr fontId="1"/>
  </si>
  <si>
    <t>(1)VBプロジェクトファイルの絶対パス　★</t>
    <rPh sb="16" eb="18">
      <t>ゼッタイ</t>
    </rPh>
    <phoneticPr fontId="1"/>
  </si>
  <si>
    <t/>
  </si>
  <si>
    <t>(2)Lot　★</t>
    <phoneticPr fontId="1"/>
  </si>
  <si>
    <t>(3)Phase　★</t>
    <phoneticPr fontId="1"/>
  </si>
  <si>
    <t>(4)PID　★</t>
    <phoneticPr fontId="1"/>
  </si>
  <si>
    <t>(5)Redmine#　★</t>
    <phoneticPr fontId="1"/>
  </si>
  <si>
    <t>(6)Branch</t>
    <phoneticPr fontId="1"/>
  </si>
  <si>
    <t>(7)Commit</t>
    <phoneticPr fontId="1"/>
  </si>
  <si>
    <t>(8)Tag</t>
    <phoneticPr fontId="1"/>
  </si>
  <si>
    <t>タグ収集</t>
    <rPh sb="2" eb="4">
      <t>シュウ</t>
    </rPh>
    <phoneticPr fontId="1"/>
  </si>
  <si>
    <t>ブランチ作成</t>
    <phoneticPr fontId="1"/>
  </si>
  <si>
    <t>自動化メニュー</t>
    <rPh sb="0" eb="3">
      <t>ジドウカ</t>
    </rPh>
    <phoneticPr fontId="1"/>
  </si>
  <si>
    <t>Parameters</t>
    <phoneticPr fontId="1"/>
  </si>
  <si>
    <t>[Common]</t>
    <phoneticPr fontId="1"/>
  </si>
  <si>
    <t>[Git]</t>
    <phoneticPr fontId="1"/>
  </si>
  <si>
    <t>[Target]</t>
    <phoneticPr fontId="1"/>
  </si>
  <si>
    <t>NO</t>
  </si>
  <si>
    <t>1.(B)に(A)をクローンする。
2.(C)にスイッチする。
3.(6)ブランチを作成する。
4.②のフォルダをコピーして(7)コミットする。(コピーは②\(C)配下を(B)\(C)にコピーするので注意)
5.(8)タグをつけてプッシュする。
6.2～5を[Target]の行数分繰り返す。</t>
    <rPh sb="42" eb="44">
      <t>サクセイ</t>
    </rPh>
    <rPh sb="82" eb="84">
      <t>ハイカ</t>
    </rPh>
    <rPh sb="100" eb="102">
      <t>チュウイ</t>
    </rPh>
    <rPh sb="138" eb="140">
      <t>ギョウスウ</t>
    </rPh>
    <rPh sb="140" eb="141">
      <t>ブン</t>
    </rPh>
    <rPh sb="141" eb="142">
      <t>ク</t>
    </rPh>
    <rPh sb="143" eb="144">
      <t>カエ</t>
    </rPh>
    <phoneticPr fontId="1"/>
  </si>
  <si>
    <t>1.[Target]のVBプロジェクトファイル(C18～C37)を②のフォルダに収集する。</t>
    <rPh sb="40" eb="42">
      <t>シュウシュウ</t>
    </rPh>
    <phoneticPr fontId="1"/>
  </si>
  <si>
    <t>STEP1.?</t>
    <phoneticPr fontId="1"/>
  </si>
  <si>
    <t>(F)(6)が存在した場合は削除する</t>
    <rPh sb="7" eb="9">
      <t>ソンザイ</t>
    </rPh>
    <rPh sb="11" eb="13">
      <t>バアイ</t>
    </rPh>
    <rPh sb="14" eb="16">
      <t>サク</t>
    </rPh>
    <phoneticPr fontId="1"/>
  </si>
  <si>
    <t>(G)タグ収集するSTEP</t>
    <rPh sb="5" eb="7">
      <t>シュウ</t>
    </rPh>
    <phoneticPr fontId="1"/>
  </si>
  <si>
    <t>(E)リモートブランチを更新する</t>
    <rPh sb="12" eb="14">
      <t>コウシン</t>
    </rPh>
    <phoneticPr fontId="1"/>
  </si>
  <si>
    <t>Zsrc</t>
    <phoneticPr fontId="1"/>
  </si>
  <si>
    <t>C:\_git_wk\GIT_0010\SRC_010\Zsrc\Other\testB\testB.vbproj</t>
  </si>
  <si>
    <t>タグ収集時に参照。未指定はNOとする。</t>
    <rPh sb="2" eb="4">
      <t>シュウ</t>
    </rPh>
    <rPh sb="4" eb="5">
      <t>ジ</t>
    </rPh>
    <rPh sb="6" eb="8">
      <t>サンショウ</t>
    </rPh>
    <rPh sb="9" eb="12">
      <t>ミシテイ</t>
    </rPh>
    <phoneticPr fontId="1"/>
  </si>
  <si>
    <t>タグ収集時に参照。未指定は全STEP("STEP1.?")とする。正規表現可。(8)に"STEP1.1"を含むこと。 Ex1."STEP1.?", Ex2."STEP1.[24]"</t>
    <rPh sb="2" eb="4">
      <t>シュウ</t>
    </rPh>
    <rPh sb="4" eb="5">
      <t>ジ</t>
    </rPh>
    <rPh sb="6" eb="8">
      <t>サンショウ</t>
    </rPh>
    <rPh sb="9" eb="12">
      <t>ミシテイ</t>
    </rPh>
    <rPh sb="13" eb="14">
      <t>スベ</t>
    </rPh>
    <rPh sb="33" eb="35">
      <t>セイキ</t>
    </rPh>
    <rPh sb="35" eb="37">
      <t>ヒョウゲン</t>
    </rPh>
    <rPh sb="37" eb="38">
      <t>カ</t>
    </rPh>
    <rPh sb="53" eb="54">
      <t>フク</t>
    </rPh>
    <phoneticPr fontId="1"/>
  </si>
  <si>
    <t>(H)VBプロジェクト未参照ファイルを除外</t>
    <rPh sb="11" eb="12">
      <t>ミ</t>
    </rPh>
    <rPh sb="12" eb="14">
      <t>サンショウ</t>
    </rPh>
    <rPh sb="19" eb="21">
      <t>ジョガイ</t>
    </rPh>
    <phoneticPr fontId="1"/>
  </si>
  <si>
    <t>Danger　zone</t>
    <phoneticPr fontId="1"/>
  </si>
  <si>
    <t>(0)有効無効</t>
    <rPh sb="3" eb="7">
      <t>ユウコウムコウ</t>
    </rPh>
    <phoneticPr fontId="1"/>
  </si>
  <si>
    <t>Enable</t>
  </si>
  <si>
    <t>1.(B)に(A)をクローンする。
2.(C)にスイッチする。
3.(8)タグをzipで②に出力する。
    →タグ名の検索は(G)、対象プロジェクトが参照するファイルのみを出力する場合は(H)を参照する。
4.3を[Target]の行数分繰り返す。</t>
    <rPh sb="46" eb="48">
      <t>シュツ</t>
    </rPh>
    <rPh sb="59" eb="60">
      <t>メイ</t>
    </rPh>
    <rPh sb="61" eb="63">
      <t>ケンサク</t>
    </rPh>
    <rPh sb="68" eb="70">
      <t>タイショウ</t>
    </rPh>
    <rPh sb="77" eb="79">
      <t>サン</t>
    </rPh>
    <rPh sb="88" eb="90">
      <t>シュ</t>
    </rPh>
    <rPh sb="92" eb="94">
      <t>バアイ</t>
    </rPh>
    <rPh sb="99" eb="101">
      <t>サンショウ</t>
    </rPh>
    <rPh sb="118" eb="120">
      <t>ギョウスウ</t>
    </rPh>
    <rPh sb="120" eb="121">
      <t>ブン</t>
    </rPh>
    <rPh sb="121" eb="122">
      <t>ク</t>
    </rPh>
    <rPh sb="123" eb="124">
      <t>カエ</t>
    </rPh>
    <phoneticPr fontId="1"/>
  </si>
  <si>
    <r>
      <rPr>
        <sz val="9"/>
        <color rgb="FFFF0000"/>
        <rFont val="Meiryo UI"/>
        <family val="3"/>
        <charset val="128"/>
      </rPr>
      <t>黄色セルは式が入っているので変更しないこと</t>
    </r>
    <r>
      <rPr>
        <sz val="9"/>
        <color theme="1"/>
        <rFont val="Meiryo UI"/>
        <family val="3"/>
        <charset val="128"/>
      </rPr>
      <t>。(0)が空セルになるまで検索する。</t>
    </r>
    <rPh sb="26" eb="27">
      <t>カラ</t>
    </rPh>
    <rPh sb="34" eb="36">
      <t>ケ</t>
    </rPh>
    <phoneticPr fontId="1"/>
  </si>
  <si>
    <t>未指定はNOとする。</t>
    <phoneticPr fontId="1"/>
  </si>
  <si>
    <t>未指定はNOとする。</t>
    <rPh sb="0" eb="3">
      <t>ミシテイ</t>
    </rPh>
    <phoneticPr fontId="1"/>
  </si>
  <si>
    <t>ver.1.0.2</t>
    <phoneticPr fontId="1"/>
  </si>
  <si>
    <t>YES</t>
  </si>
  <si>
    <t>C:\_git_wk\GIT_0010\SRC_010\Zsrc\DSizing\testA\testA.vbp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</si>
</sst>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0000"/>
  </numFmts>
  <fonts count="15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1"/>
      <name val="Meiryo UI"/>
      <family val="3"/>
      <charset val="128"/>
    </font>
    <font>
      <sz val="11"/>
      <color theme="1"/>
      <name val="Meiryo UI"/>
      <family val="3"/>
      <charset val="128"/>
    </font>
    <font>
      <b/>
      <sz val="16"/>
      <color theme="1"/>
      <name val="Meiryo UI"/>
      <family val="3"/>
      <charset val="128"/>
    </font>
    <font>
      <sz val="9"/>
      <color theme="1"/>
      <name val="Meiryo UI"/>
      <family val="3"/>
      <charset val="128"/>
    </font>
    <font>
      <sz val="9"/>
      <color rgb="FF000000"/>
      <name val="Yu Gothic"/>
      <family val="3"/>
      <charset val="128"/>
    </font>
    <font>
      <sz val="11"/>
      <color rgb="FFFF0000"/>
      <name val="Meiryo UI"/>
      <family val="3"/>
      <charset val="128"/>
    </font>
    <font>
      <b/>
      <sz val="11"/>
      <color rgb="FFFF0000"/>
      <name val="Meiryo UI"/>
      <family val="3"/>
      <charset val="128"/>
    </font>
    <font>
      <sz val="9"/>
      <color rgb="FFFF0000"/>
      <name val="Yu Gothic"/>
      <family val="3"/>
      <charset val="128"/>
    </font>
    <font>
      <b/>
      <sz val="16"/>
      <color rgb="FFFF0000"/>
      <name val="Meiryo UI"/>
      <family val="3"/>
      <charset val="128"/>
    </font>
    <font>
      <b/>
      <u/>
      <sz val="12"/>
      <name val="Meiryo UI"/>
      <family val="3"/>
      <charset val="128"/>
    </font>
    <font>
      <sz val="9"/>
      <color theme="0"/>
      <name val="Meiryo UI"/>
      <family val="3"/>
      <charset val="128"/>
    </font>
    <font>
      <sz val="9"/>
      <color rgb="FFFF0000"/>
      <name val="Meiryo UI"/>
      <family val="3"/>
      <charset val="128"/>
    </font>
    <font>
      <sz val="11"/>
      <color theme="0"/>
      <name val="Yu Gothic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99FFCC"/>
        <bgColor indexed="64"/>
      </patternFill>
    </fill>
    <fill>
      <patternFill patternType="solid">
        <fgColor rgb="FF0099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0000"/>
        <bgColor indexed="64"/>
      </patternFill>
    </fill>
  </fills>
  <borders count="10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</borders>
  <cellStyleXfs count="1">
    <xf numFmtId="0" fontId="0" fillId="0" borderId="0"/>
  </cellStyleXfs>
  <cellXfs count="34">
    <xf numFmtId="0" fontId="0" fillId="0" borderId="0" xfId="0"/>
    <xf numFmtId="49" fontId="2" fillId="0" borderId="0" xfId="0" applyNumberFormat="1" applyFont="1" applyAlignment="1">
      <alignment horizontal="left" vertical="center"/>
    </xf>
    <xf numFmtId="49" fontId="3" fillId="0" borderId="0" xfId="0" applyNumberFormat="1" applyFont="1" applyAlignment="1">
      <alignment horizontal="left" vertical="center"/>
    </xf>
    <xf numFmtId="49" fontId="4" fillId="0" borderId="0" xfId="0" applyNumberFormat="1" applyFont="1" applyAlignment="1">
      <alignment horizontal="left" vertical="center"/>
    </xf>
    <xf numFmtId="49" fontId="7" fillId="0" borderId="0" xfId="0" applyNumberFormat="1" applyFont="1" applyAlignment="1">
      <alignment horizontal="left" vertical="center"/>
    </xf>
    <xf numFmtId="49" fontId="5" fillId="0" borderId="0" xfId="0" applyNumberFormat="1" applyFont="1" applyAlignment="1">
      <alignment horizontal="left" vertical="center"/>
    </xf>
    <xf numFmtId="0" fontId="5" fillId="2" borderId="5" xfId="0" applyFont="1" applyFill="1" applyBorder="1" applyAlignment="1">
      <alignment horizontal="left" vertical="center"/>
    </xf>
    <xf numFmtId="49" fontId="8" fillId="4" borderId="0" xfId="0" applyNumberFormat="1" applyFont="1" applyFill="1" applyAlignment="1">
      <alignment horizontal="left" vertical="center"/>
    </xf>
    <xf numFmtId="49" fontId="8" fillId="0" borderId="0" xfId="0" applyNumberFormat="1" applyFont="1" applyAlignment="1">
      <alignment horizontal="left" vertical="center"/>
    </xf>
    <xf numFmtId="49" fontId="7" fillId="4" borderId="0" xfId="0" applyNumberFormat="1" applyFont="1" applyFill="1" applyAlignment="1">
      <alignment horizontal="left" vertical="center"/>
    </xf>
    <xf numFmtId="49" fontId="10" fillId="4" borderId="0" xfId="0" applyNumberFormat="1" applyFont="1" applyFill="1" applyAlignment="1">
      <alignment horizontal="left" vertical="center"/>
    </xf>
    <xf numFmtId="49" fontId="11" fillId="0" borderId="0" xfId="0" applyNumberFormat="1" applyFont="1" applyAlignment="1">
      <alignment horizontal="left" vertical="center"/>
    </xf>
    <xf numFmtId="49" fontId="5" fillId="0" borderId="3" xfId="0" applyNumberFormat="1" applyFont="1" applyBorder="1" applyAlignment="1">
      <alignment horizontal="left" vertical="center"/>
    </xf>
    <xf numFmtId="49" fontId="5" fillId="0" borderId="7" xfId="0" applyNumberFormat="1" applyFont="1" applyBorder="1" applyAlignment="1">
      <alignment horizontal="left" vertical="center"/>
    </xf>
    <xf numFmtId="49" fontId="5" fillId="0" borderId="4" xfId="0" applyNumberFormat="1" applyFont="1" applyBorder="1" applyAlignment="1">
      <alignment horizontal="left" vertical="center"/>
    </xf>
    <xf numFmtId="49" fontId="5" fillId="5" borderId="5" xfId="0" applyNumberFormat="1" applyFont="1" applyFill="1" applyBorder="1" applyAlignment="1">
      <alignment horizontal="left" vertical="center" wrapText="1"/>
    </xf>
    <xf numFmtId="49" fontId="5" fillId="6" borderId="5" xfId="0" applyNumberFormat="1" applyFont="1" applyFill="1" applyBorder="1" applyAlignment="1">
      <alignment horizontal="center" vertical="center" shrinkToFit="1"/>
    </xf>
    <xf numFmtId="49" fontId="5" fillId="6" borderId="3" xfId="0" applyNumberFormat="1" applyFont="1" applyFill="1" applyBorder="1" applyAlignment="1">
      <alignment horizontal="left" vertical="center"/>
    </xf>
    <xf numFmtId="49" fontId="5" fillId="6" borderId="5" xfId="0" applyNumberFormat="1" applyFont="1" applyFill="1" applyBorder="1" applyAlignment="1">
      <alignment horizontal="left" vertical="center"/>
    </xf>
    <xf numFmtId="176" fontId="5" fillId="6" borderId="3" xfId="0" applyNumberFormat="1" applyFont="1" applyFill="1" applyBorder="1" applyAlignment="1">
      <alignment horizontal="left" vertical="center"/>
    </xf>
    <xf numFmtId="49" fontId="12" fillId="7" borderId="2" xfId="0" applyNumberFormat="1" applyFont="1" applyFill="1" applyBorder="1" applyAlignment="1">
      <alignment horizontal="left" vertical="center" wrapText="1"/>
    </xf>
    <xf numFmtId="49" fontId="12" fillId="7" borderId="2" xfId="0" applyNumberFormat="1" applyFont="1" applyFill="1" applyBorder="1" applyAlignment="1">
      <alignment horizontal="left" vertical="center"/>
    </xf>
    <xf numFmtId="49" fontId="12" fillId="7" borderId="1" xfId="0" applyNumberFormat="1" applyFont="1" applyFill="1" applyBorder="1" applyAlignment="1">
      <alignment horizontal="left" vertical="center" wrapText="1"/>
    </xf>
    <xf numFmtId="49" fontId="12" fillId="7" borderId="6" xfId="0" applyNumberFormat="1" applyFont="1" applyFill="1" applyBorder="1" applyAlignment="1">
      <alignment horizontal="left" vertical="center" wrapText="1"/>
    </xf>
    <xf numFmtId="49" fontId="3" fillId="8" borderId="1" xfId="0" applyNumberFormat="1" applyFont="1" applyFill="1" applyBorder="1" applyAlignment="1">
      <alignment horizontal="left" vertical="center"/>
    </xf>
    <xf numFmtId="49" fontId="3" fillId="8" borderId="8" xfId="0" applyNumberFormat="1" applyFont="1" applyFill="1" applyBorder="1" applyAlignment="1">
      <alignment horizontal="left" vertical="center"/>
    </xf>
    <xf numFmtId="49" fontId="3" fillId="8" borderId="9" xfId="0" applyNumberFormat="1" applyFont="1" applyFill="1" applyBorder="1" applyAlignment="1">
      <alignment horizontal="left" vertical="center"/>
    </xf>
    <xf numFmtId="49" fontId="12" fillId="3" borderId="6" xfId="0" applyNumberFormat="1" applyFont="1" applyFill="1" applyBorder="1" applyAlignment="1">
      <alignment horizontal="left" vertical="center" wrapText="1"/>
    </xf>
    <xf numFmtId="49" fontId="5" fillId="6" borderId="3" xfId="0" applyNumberFormat="1" applyFont="1" applyFill="1" applyBorder="1" applyAlignment="1">
      <alignment horizontal="left" vertical="center" wrapText="1"/>
    </xf>
    <xf numFmtId="0" fontId="0" fillId="6" borderId="7" xfId="0" applyFill="1" applyBorder="1" applyAlignment="1">
      <alignment horizontal="left" vertical="center" wrapText="1"/>
    </xf>
    <xf numFmtId="0" fontId="0" fillId="6" borderId="4" xfId="0" applyFill="1" applyBorder="1" applyAlignment="1">
      <alignment horizontal="left" vertical="center" wrapText="1"/>
    </xf>
    <xf numFmtId="49" fontId="12" fillId="9" borderId="3" xfId="0" applyNumberFormat="1" applyFont="1" applyFill="1" applyBorder="1" applyAlignment="1">
      <alignment horizontal="left" vertical="center" wrapText="1"/>
    </xf>
    <xf numFmtId="0" fontId="14" fillId="9" borderId="7" xfId="0" applyFont="1" applyFill="1" applyBorder="1" applyAlignment="1">
      <alignment horizontal="left" vertical="center" wrapText="1"/>
    </xf>
    <xf numFmtId="0" fontId="14" fillId="9" borderId="4" xfId="0" applyFont="1" applyFill="1" applyBorder="1" applyAlignment="1">
      <alignment horizontal="left" vertical="center" wrapText="1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009900"/>
      <color rgb="FF66FF99"/>
      <color rgb="FF99FFCC"/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119063</xdr:colOff>
          <xdr:row>5</xdr:row>
          <xdr:rowOff>80963</xdr:rowOff>
        </xdr:from>
        <xdr:to>
          <xdr:col>7</xdr:col>
          <xdr:colOff>104775</xdr:colOff>
          <xdr:row>5</xdr:row>
          <xdr:rowOff>366713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Run 001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133350</xdr:colOff>
          <xdr:row>6</xdr:row>
          <xdr:rowOff>366713</xdr:rowOff>
        </xdr:from>
        <xdr:to>
          <xdr:col>7</xdr:col>
          <xdr:colOff>95250</xdr:colOff>
          <xdr:row>6</xdr:row>
          <xdr:rowOff>623888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Run 002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147638</xdr:colOff>
          <xdr:row>9</xdr:row>
          <xdr:rowOff>238125</xdr:rowOff>
        </xdr:from>
        <xdr:to>
          <xdr:col>7</xdr:col>
          <xdr:colOff>109538</xdr:colOff>
          <xdr:row>9</xdr:row>
          <xdr:rowOff>495300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1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Run 003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66675</xdr:colOff>
          <xdr:row>2</xdr:row>
          <xdr:rowOff>61913</xdr:rowOff>
        </xdr:from>
        <xdr:to>
          <xdr:col>2</xdr:col>
          <xdr:colOff>1290638</xdr:colOff>
          <xdr:row>3</xdr:row>
          <xdr:rowOff>114300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FF0000"/>
                  </a:solidFill>
                  <a:latin typeface="Yu Gothic"/>
                  <a:ea typeface="Yu Gothic"/>
                </a:rPr>
                <a:t>Delete Branch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95250</xdr:colOff>
          <xdr:row>3</xdr:row>
          <xdr:rowOff>390525</xdr:rowOff>
        </xdr:from>
        <xdr:to>
          <xdr:col>2</xdr:col>
          <xdr:colOff>1309688</xdr:colOff>
          <xdr:row>4</xdr:row>
          <xdr:rowOff>95250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FF0000"/>
                  </a:solidFill>
                  <a:latin typeface="Yu Gothic"/>
                  <a:ea typeface="Yu Gothic"/>
                </a:rPr>
                <a:t>Delete Tag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W41"/>
  <sheetViews>
    <sheetView showGridLines="0" zoomScale="85" zoomScaleNormal="85" workbookViewId="0">
      <selection activeCell="D7" sqref="D7:G7"/>
    </sheetView>
  </sheetViews>
  <sheetFormatPr defaultColWidth="3.5625" defaultRowHeight="15"/>
  <cols>
    <col min="1" max="1" width="3.5625" style="2"/>
    <col min="2" max="2" width="4.5" style="2" customWidth="1"/>
    <col min="3" max="3" width="27.5" style="2" customWidth="1"/>
    <col min="4" max="4" width="5.5" style="2" customWidth="1"/>
    <col min="5" max="5" width="5.875" style="2" customWidth="1"/>
    <col min="6" max="6" width="13.5" style="2" customWidth="1"/>
    <col min="7" max="7" width="6.9375" style="2" customWidth="1"/>
    <col min="8" max="8" width="14.625" style="2" customWidth="1"/>
    <col min="9" max="9" width="13.875" style="2" customWidth="1"/>
    <col min="10" max="10" width="23.875" style="2" bestFit="1" customWidth="1"/>
    <col min="11" max="11" width="5.9375" style="2" customWidth="1"/>
    <col min="12" max="16384" width="3.5625" style="2"/>
  </cols>
  <sheetData>
    <row r="1" spans="1:23" ht="22.15">
      <c r="A1" s="3" t="s">
        <v>32</v>
      </c>
    </row>
    <row r="2" spans="1:23">
      <c r="A2" s="8" t="s">
        <v>21</v>
      </c>
      <c r="D2" s="8" t="s">
        <v>21</v>
      </c>
    </row>
    <row r="4" spans="1:23" ht="15.4" thickBot="1">
      <c r="B4" s="1" t="s">
        <v>33</v>
      </c>
      <c r="D4" s="2" t="s">
        <v>4</v>
      </c>
      <c r="H4" s="24" t="s">
        <v>2</v>
      </c>
      <c r="I4" s="25"/>
      <c r="J4" s="25"/>
      <c r="K4" s="25"/>
      <c r="L4" s="25"/>
      <c r="M4" s="25"/>
      <c r="N4" s="25"/>
      <c r="O4" s="25"/>
      <c r="P4" s="25"/>
      <c r="Q4" s="25"/>
      <c r="R4" s="25"/>
      <c r="S4" s="25"/>
      <c r="T4" s="25"/>
      <c r="U4" s="25"/>
      <c r="V4" s="25"/>
      <c r="W4" s="26"/>
    </row>
    <row r="5" spans="1:23" s="5" customFormat="1" ht="35.25" customHeight="1" thickBot="1">
      <c r="C5" s="20" t="s">
        <v>9</v>
      </c>
      <c r="D5" s="28" t="s">
        <v>3</v>
      </c>
      <c r="E5" s="29"/>
      <c r="F5" s="29"/>
      <c r="G5" s="30"/>
      <c r="H5" s="12"/>
      <c r="I5" s="13"/>
      <c r="J5" s="13"/>
      <c r="K5" s="13"/>
      <c r="L5" s="13"/>
      <c r="M5" s="13"/>
      <c r="N5" s="13"/>
      <c r="O5" s="13"/>
      <c r="P5" s="13"/>
      <c r="Q5" s="13"/>
      <c r="R5" s="13"/>
      <c r="S5" s="13"/>
      <c r="T5" s="13"/>
      <c r="U5" s="13"/>
      <c r="V5" s="13"/>
      <c r="W5" s="14"/>
    </row>
    <row r="6" spans="1:23" s="5" customFormat="1" ht="35.25" customHeight="1" thickBot="1">
      <c r="C6" s="20" t="s">
        <v>10</v>
      </c>
      <c r="D6" s="28" t="s">
        <v>18</v>
      </c>
      <c r="E6" s="29"/>
      <c r="F6" s="29"/>
      <c r="G6" s="30"/>
      <c r="H6" s="12" t="s">
        <v>1</v>
      </c>
      <c r="I6" s="13"/>
      <c r="J6" s="13"/>
      <c r="K6" s="13"/>
      <c r="L6" s="13"/>
      <c r="M6" s="13"/>
      <c r="N6" s="13"/>
      <c r="O6" s="13"/>
      <c r="P6" s="13"/>
      <c r="Q6" s="13"/>
      <c r="R6" s="13"/>
      <c r="S6" s="13"/>
      <c r="T6" s="13"/>
      <c r="U6" s="13"/>
      <c r="V6" s="13"/>
      <c r="W6" s="14"/>
    </row>
    <row r="7" spans="1:23" s="5" customFormat="1" ht="18" thickBot="1">
      <c r="C7" s="20" t="s">
        <v>0</v>
      </c>
      <c r="D7" s="28" t="s">
        <v>36</v>
      </c>
      <c r="E7" s="29"/>
      <c r="F7" s="29"/>
      <c r="G7" s="30"/>
      <c r="H7" s="12" t="s">
        <v>54</v>
      </c>
      <c r="I7" s="13"/>
      <c r="J7" s="13"/>
      <c r="K7" s="13"/>
      <c r="L7" s="13"/>
      <c r="M7" s="13"/>
      <c r="N7" s="13"/>
      <c r="O7" s="13"/>
      <c r="P7" s="13"/>
      <c r="Q7" s="13"/>
      <c r="R7" s="13"/>
      <c r="S7" s="13"/>
      <c r="T7" s="13"/>
      <c r="U7" s="13"/>
      <c r="V7" s="13"/>
      <c r="W7" s="14"/>
    </row>
    <row r="9" spans="1:23" ht="15.4" thickBot="1">
      <c r="B9" s="1" t="s">
        <v>34</v>
      </c>
      <c r="H9" s="24" t="s">
        <v>2</v>
      </c>
      <c r="I9" s="25"/>
      <c r="J9" s="25"/>
      <c r="K9" s="25"/>
      <c r="L9" s="25"/>
      <c r="M9" s="25"/>
      <c r="N9" s="25"/>
      <c r="O9" s="25"/>
      <c r="P9" s="25"/>
      <c r="Q9" s="25"/>
      <c r="R9" s="25"/>
      <c r="S9" s="25"/>
      <c r="T9" s="25"/>
      <c r="U9" s="25"/>
      <c r="V9" s="25"/>
      <c r="W9" s="26"/>
    </row>
    <row r="10" spans="1:23" s="5" customFormat="1" ht="32.65" customHeight="1" thickBot="1">
      <c r="C10" s="21" t="s">
        <v>11</v>
      </c>
      <c r="D10" s="28" t="s">
        <v>8</v>
      </c>
      <c r="E10" s="29"/>
      <c r="F10" s="29"/>
      <c r="G10" s="30"/>
      <c r="H10" s="12" t="s">
        <v>15</v>
      </c>
      <c r="I10" s="13"/>
      <c r="J10" s="13"/>
      <c r="K10" s="13"/>
      <c r="L10" s="13"/>
      <c r="M10" s="13"/>
      <c r="N10" s="13"/>
      <c r="O10" s="13"/>
      <c r="P10" s="13"/>
      <c r="Q10" s="13"/>
      <c r="R10" s="13"/>
      <c r="S10" s="13"/>
      <c r="T10" s="13"/>
      <c r="U10" s="13"/>
      <c r="V10" s="13"/>
      <c r="W10" s="14"/>
    </row>
    <row r="11" spans="1:23" s="5" customFormat="1" ht="15.4" customHeight="1" thickBot="1">
      <c r="C11" s="21" t="s">
        <v>12</v>
      </c>
      <c r="D11" s="28" t="s">
        <v>19</v>
      </c>
      <c r="E11" s="29"/>
      <c r="F11" s="29"/>
      <c r="G11" s="30"/>
      <c r="H11" s="12" t="s">
        <v>1</v>
      </c>
      <c r="I11" s="13"/>
      <c r="J11" s="13"/>
      <c r="K11" s="13"/>
      <c r="L11" s="13"/>
      <c r="M11" s="13"/>
      <c r="N11" s="13"/>
      <c r="O11" s="13"/>
      <c r="P11" s="13"/>
      <c r="Q11" s="13"/>
      <c r="R11" s="13"/>
      <c r="S11" s="13"/>
      <c r="T11" s="13"/>
      <c r="U11" s="13"/>
      <c r="V11" s="13"/>
      <c r="W11" s="14"/>
    </row>
    <row r="12" spans="1:23" s="5" customFormat="1" ht="18" thickBot="1">
      <c r="C12" s="21" t="s">
        <v>14</v>
      </c>
      <c r="D12" s="28" t="s">
        <v>43</v>
      </c>
      <c r="E12" s="29"/>
      <c r="F12" s="29"/>
      <c r="G12" s="30"/>
      <c r="H12" s="12" t="s">
        <v>16</v>
      </c>
      <c r="I12" s="13"/>
      <c r="J12" s="13"/>
      <c r="K12" s="13"/>
      <c r="L12" s="13"/>
      <c r="M12" s="13"/>
      <c r="N12" s="13"/>
      <c r="O12" s="13"/>
      <c r="P12" s="13"/>
      <c r="Q12" s="13"/>
      <c r="R12" s="13"/>
      <c r="S12" s="13"/>
      <c r="T12" s="13"/>
      <c r="U12" s="13"/>
      <c r="V12" s="13"/>
      <c r="W12" s="14"/>
    </row>
    <row r="13" spans="1:23" s="5" customFormat="1" ht="18" thickBot="1">
      <c r="C13" s="21" t="s">
        <v>13</v>
      </c>
      <c r="D13" s="28" t="s">
        <v>7</v>
      </c>
      <c r="E13" s="29"/>
      <c r="F13" s="29"/>
      <c r="G13" s="30"/>
      <c r="H13" s="12"/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  <c r="T13" s="13"/>
      <c r="U13" s="13"/>
      <c r="V13" s="13"/>
      <c r="W13" s="14"/>
    </row>
    <row r="14" spans="1:23" s="5" customFormat="1" ht="18" thickBot="1">
      <c r="C14" s="21" t="s">
        <v>42</v>
      </c>
      <c r="D14" s="31" t="s">
        <v>36</v>
      </c>
      <c r="E14" s="32"/>
      <c r="F14" s="32"/>
      <c r="G14" s="33"/>
      <c r="H14" s="12" t="s">
        <v>53</v>
      </c>
      <c r="I14" s="13"/>
      <c r="J14" s="13"/>
      <c r="K14" s="13"/>
      <c r="L14" s="13"/>
      <c r="M14" s="13"/>
      <c r="N14" s="13"/>
      <c r="O14" s="13"/>
      <c r="P14" s="13"/>
      <c r="Q14" s="13"/>
      <c r="R14" s="13"/>
      <c r="S14" s="13"/>
      <c r="T14" s="13"/>
      <c r="U14" s="13"/>
      <c r="V14" s="13"/>
      <c r="W14" s="14"/>
    </row>
    <row r="15" spans="1:23" s="5" customFormat="1" ht="18" thickBot="1">
      <c r="C15" s="21" t="s">
        <v>40</v>
      </c>
      <c r="D15" s="31" t="s">
        <v>36</v>
      </c>
      <c r="E15" s="32"/>
      <c r="F15" s="32"/>
      <c r="G15" s="33"/>
      <c r="H15" s="12" t="s">
        <v>53</v>
      </c>
      <c r="I15" s="13"/>
      <c r="J15" s="13"/>
      <c r="K15" s="13"/>
      <c r="L15" s="13"/>
      <c r="M15" s="13"/>
      <c r="N15" s="13"/>
      <c r="O15" s="13"/>
      <c r="P15" s="13"/>
      <c r="Q15" s="13"/>
      <c r="R15" s="13"/>
      <c r="S15" s="13"/>
      <c r="T15" s="13"/>
      <c r="U15" s="13"/>
      <c r="V15" s="13"/>
      <c r="W15" s="14"/>
    </row>
    <row r="16" spans="1:23" s="5" customFormat="1" ht="18" thickBot="1">
      <c r="C16" s="21" t="s">
        <v>41</v>
      </c>
      <c r="D16" s="28" t="s">
        <v>39</v>
      </c>
      <c r="E16" s="29"/>
      <c r="F16" s="29"/>
      <c r="G16" s="30"/>
      <c r="H16" s="12" t="s">
        <v>46</v>
      </c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  <c r="T16" s="13"/>
      <c r="U16" s="13"/>
      <c r="V16" s="13"/>
      <c r="W16" s="14"/>
    </row>
    <row r="17" spans="1:23" s="5" customFormat="1" ht="18" customHeight="1" thickBot="1">
      <c r="C17" s="21" t="s">
        <v>47</v>
      </c>
      <c r="D17" s="28" t="s">
        <v>56</v>
      </c>
      <c r="E17" s="29"/>
      <c r="F17" s="29"/>
      <c r="G17" s="30"/>
      <c r="H17" s="12" t="s">
        <v>45</v>
      </c>
      <c r="I17" s="13"/>
      <c r="J17" s="13"/>
      <c r="K17" s="13"/>
      <c r="L17" s="13"/>
      <c r="M17" s="13"/>
      <c r="N17" s="13"/>
      <c r="O17" s="13"/>
      <c r="P17" s="13"/>
      <c r="Q17" s="13"/>
      <c r="R17" s="13"/>
      <c r="S17" s="13"/>
      <c r="T17" s="13"/>
      <c r="U17" s="13"/>
      <c r="V17" s="13"/>
      <c r="W17" s="14"/>
    </row>
    <row r="19" spans="1:23" ht="15.4" thickBot="1">
      <c r="H19" s="24" t="s">
        <v>2</v>
      </c>
      <c r="I19" s="25"/>
      <c r="J19" s="25"/>
      <c r="K19" s="25"/>
      <c r="L19" s="25"/>
      <c r="M19" s="25"/>
      <c r="N19" s="25"/>
      <c r="O19" s="25"/>
      <c r="P19" s="25"/>
      <c r="Q19" s="25"/>
      <c r="R19" s="25"/>
      <c r="S19" s="25"/>
      <c r="T19" s="25"/>
      <c r="U19" s="25"/>
      <c r="V19" s="25"/>
      <c r="W19" s="26"/>
    </row>
    <row r="20" spans="1:23" ht="15.4" thickBot="1">
      <c r="B20" s="1" t="s">
        <v>35</v>
      </c>
      <c r="H20" s="12" t="s">
        <v>52</v>
      </c>
      <c r="I20" s="13"/>
      <c r="J20" s="13"/>
      <c r="K20" s="13"/>
      <c r="L20" s="13"/>
      <c r="M20" s="13"/>
      <c r="N20" s="13"/>
      <c r="O20" s="13"/>
      <c r="P20" s="13"/>
      <c r="Q20" s="13"/>
      <c r="R20" s="13"/>
      <c r="S20" s="13"/>
      <c r="T20" s="13"/>
      <c r="U20" s="13"/>
      <c r="V20" s="13"/>
      <c r="W20" s="14"/>
    </row>
    <row r="21" spans="1:23" s="5" customFormat="1" ht="43.5" customHeight="1" thickBot="1">
      <c r="B21" s="22" t="s">
        <v>49</v>
      </c>
      <c r="C21" s="22" t="s">
        <v>20</v>
      </c>
      <c r="D21" s="23" t="s">
        <v>22</v>
      </c>
      <c r="E21" s="23" t="s">
        <v>23</v>
      </c>
      <c r="F21" s="23" t="s">
        <v>24</v>
      </c>
      <c r="G21" s="22" t="s">
        <v>25</v>
      </c>
      <c r="H21" s="27" t="s">
        <v>26</v>
      </c>
      <c r="I21" s="27" t="s">
        <v>27</v>
      </c>
      <c r="J21" s="27" t="s">
        <v>28</v>
      </c>
    </row>
    <row r="22" spans="1:23" s="5" customFormat="1" ht="12.4" thickBot="1">
      <c r="A22" s="5" t="s">
        <v>17</v>
      </c>
      <c r="B22" s="16" t="s">
        <v>50</v>
      </c>
      <c r="C22" s="17" t="s">
        <v>57</v>
      </c>
      <c r="D22" s="18" t="s">
        <v>17</v>
      </c>
      <c r="E22" s="18" t="s">
        <v>17</v>
      </c>
      <c r="F22" s="18" t="s">
        <v>5</v>
      </c>
      <c r="G22" s="19">
        <v>1</v>
      </c>
      <c r="H22" s="6" t="str">
        <f t="shared" ref="H22:H41" si="0">"fe_" &amp; F22 &amp; "#" &amp; TEXT(G22,"00000")</f>
        <v>fe_PID_1#00001</v>
      </c>
      <c r="I22" s="6" t="str">
        <f t="shared" ref="I22:I41" si="1">"[COMMIT] " &amp; F22</f>
        <v>[COMMIT] PID_1</v>
      </c>
      <c r="J22" s="6" t="str">
        <f>"TAG-" &amp; "LO" &amp; D22 &amp; "-PH" &amp; E22 &amp; "-STEP1.1-" &amp;  F22</f>
        <v>TAG-LO1-PH1-STEP1.1-PID_1</v>
      </c>
    </row>
    <row r="23" spans="1:23" s="5" customFormat="1" ht="12.4" thickBot="1">
      <c r="A23" s="5">
        <f>A22+1</f>
        <v>2</v>
      </c>
      <c r="B23" s="16" t="s">
        <v>50</v>
      </c>
      <c r="C23" s="17" t="s">
        <v>44</v>
      </c>
      <c r="D23" s="18" t="s">
        <v>17</v>
      </c>
      <c r="E23" s="18" t="s">
        <v>17</v>
      </c>
      <c r="F23" s="18" t="s">
        <v>6</v>
      </c>
      <c r="G23" s="19">
        <v>2</v>
      </c>
      <c r="H23" s="6" t="str">
        <f t="shared" si="0"/>
        <v>fe_PID_2#00002</v>
      </c>
      <c r="I23" s="6" t="str">
        <f t="shared" si="1"/>
        <v>[COMMIT] PID_2</v>
      </c>
      <c r="J23" s="6" t="str">
        <f t="shared" ref="J23:J41" si="2">"TAG-" &amp; "LO" &amp; D23 &amp; "-PH" &amp; E23 &amp; "-STEP1.1-" &amp;  F23</f>
        <v>TAG-LO1-PH1-STEP1.1-PID_2</v>
      </c>
    </row>
    <row r="24" spans="1:23" s="5" customFormat="1" ht="12.4" thickBot="1">
      <c r="A24" s="5">
        <f t="shared" ref="A24:A41" si="3">A23+1</f>
        <v>3</v>
      </c>
      <c r="B24" s="16"/>
      <c r="C24" s="17"/>
      <c r="D24" s="18"/>
      <c r="E24" s="18"/>
      <c r="F24" s="18"/>
      <c r="G24" s="19"/>
      <c r="H24" s="6" t="str">
        <f t="shared" si="0"/>
        <v>fe_#00000</v>
      </c>
      <c r="I24" s="6" t="str">
        <f t="shared" si="1"/>
        <v xml:space="preserve">[COMMIT] </v>
      </c>
      <c r="J24" s="6" t="str">
        <f t="shared" si="2"/>
        <v>TAG-LO-PH-STEP1.1-</v>
      </c>
    </row>
    <row r="25" spans="1:23" s="5" customFormat="1" ht="12.4" thickBot="1">
      <c r="A25" s="5">
        <f t="shared" si="3"/>
        <v>4</v>
      </c>
      <c r="B25" s="16"/>
      <c r="C25" s="17"/>
      <c r="D25" s="18"/>
      <c r="E25" s="18"/>
      <c r="F25" s="18"/>
      <c r="G25" s="19"/>
      <c r="H25" s="6" t="str">
        <f t="shared" si="0"/>
        <v>fe_#00000</v>
      </c>
      <c r="I25" s="6" t="str">
        <f t="shared" si="1"/>
        <v xml:space="preserve">[COMMIT] </v>
      </c>
      <c r="J25" s="6" t="str">
        <f t="shared" si="2"/>
        <v>TAG-LO-PH-STEP1.1-</v>
      </c>
    </row>
    <row r="26" spans="1:23" s="5" customFormat="1" ht="15.4" thickBot="1">
      <c r="A26" s="5">
        <f t="shared" si="3"/>
        <v>5</v>
      </c>
      <c r="B26" s="16"/>
      <c r="C26" s="17"/>
      <c r="D26" s="18"/>
      <c r="E26" s="18"/>
      <c r="F26" s="18"/>
      <c r="G26" s="19"/>
      <c r="H26" s="6" t="str">
        <f t="shared" si="0"/>
        <v>fe_#00000</v>
      </c>
      <c r="I26" s="6" t="str">
        <f t="shared" si="1"/>
        <v xml:space="preserve">[COMMIT] </v>
      </c>
      <c r="J26" s="6" t="str">
        <f t="shared" si="2"/>
        <v>TAG-LO-PH-STEP1.1-</v>
      </c>
      <c r="M26" s="4"/>
    </row>
    <row r="27" spans="1:23" s="5" customFormat="1" ht="12.4" thickBot="1">
      <c r="A27" s="5">
        <f t="shared" si="3"/>
        <v>6</v>
      </c>
      <c r="B27" s="16"/>
      <c r="C27" s="17"/>
      <c r="D27" s="18"/>
      <c r="E27" s="18"/>
      <c r="F27" s="18"/>
      <c r="G27" s="19"/>
      <c r="H27" s="6" t="str">
        <f t="shared" si="0"/>
        <v>fe_#00000</v>
      </c>
      <c r="I27" s="6" t="str">
        <f t="shared" si="1"/>
        <v xml:space="preserve">[COMMIT] </v>
      </c>
      <c r="J27" s="6" t="str">
        <f t="shared" si="2"/>
        <v>TAG-LO-PH-STEP1.1-</v>
      </c>
    </row>
    <row r="28" spans="1:23" s="5" customFormat="1" ht="12.4" thickBot="1">
      <c r="A28" s="5">
        <f t="shared" si="3"/>
        <v>7</v>
      </c>
      <c r="B28" s="16"/>
      <c r="C28" s="17"/>
      <c r="D28" s="18"/>
      <c r="E28" s="18"/>
      <c r="F28" s="18"/>
      <c r="G28" s="19"/>
      <c r="H28" s="6" t="str">
        <f t="shared" si="0"/>
        <v>fe_#00000</v>
      </c>
      <c r="I28" s="6" t="str">
        <f t="shared" si="1"/>
        <v xml:space="preserve">[COMMIT] </v>
      </c>
      <c r="J28" s="6" t="str">
        <f t="shared" si="2"/>
        <v>TAG-LO-PH-STEP1.1-</v>
      </c>
    </row>
    <row r="29" spans="1:23" s="5" customFormat="1" ht="12.4" thickBot="1">
      <c r="A29" s="5">
        <f t="shared" si="3"/>
        <v>8</v>
      </c>
      <c r="B29" s="16"/>
      <c r="C29" s="17"/>
      <c r="D29" s="18"/>
      <c r="E29" s="18"/>
      <c r="F29" s="18"/>
      <c r="G29" s="19"/>
      <c r="H29" s="6" t="str">
        <f t="shared" si="0"/>
        <v>fe_#00000</v>
      </c>
      <c r="I29" s="6" t="str">
        <f t="shared" si="1"/>
        <v xml:space="preserve">[COMMIT] </v>
      </c>
      <c r="J29" s="6" t="str">
        <f t="shared" si="2"/>
        <v>TAG-LO-PH-STEP1.1-</v>
      </c>
    </row>
    <row r="30" spans="1:23" s="5" customFormat="1" ht="12.4" thickBot="1">
      <c r="A30" s="5">
        <f t="shared" si="3"/>
        <v>9</v>
      </c>
      <c r="B30" s="16"/>
      <c r="C30" s="17"/>
      <c r="D30" s="18"/>
      <c r="E30" s="18"/>
      <c r="F30" s="18"/>
      <c r="G30" s="19"/>
      <c r="H30" s="6" t="str">
        <f t="shared" si="0"/>
        <v>fe_#00000</v>
      </c>
      <c r="I30" s="6" t="str">
        <f t="shared" si="1"/>
        <v xml:space="preserve">[COMMIT] </v>
      </c>
      <c r="J30" s="6" t="str">
        <f t="shared" si="2"/>
        <v>TAG-LO-PH-STEP1.1-</v>
      </c>
    </row>
    <row r="31" spans="1:23" s="5" customFormat="1" ht="12.4" thickBot="1">
      <c r="A31" s="5">
        <f t="shared" si="3"/>
        <v>10</v>
      </c>
      <c r="B31" s="16"/>
      <c r="C31" s="17"/>
      <c r="D31" s="18"/>
      <c r="E31" s="18"/>
      <c r="F31" s="18"/>
      <c r="G31" s="19"/>
      <c r="H31" s="6" t="str">
        <f t="shared" si="0"/>
        <v>fe_#00000</v>
      </c>
      <c r="I31" s="6" t="str">
        <f t="shared" si="1"/>
        <v xml:space="preserve">[COMMIT] </v>
      </c>
      <c r="J31" s="6" t="str">
        <f t="shared" si="2"/>
        <v>TAG-LO-PH-STEP1.1-</v>
      </c>
    </row>
    <row r="32" spans="1:23" s="5" customFormat="1" ht="12.4" thickBot="1">
      <c r="A32" s="5">
        <f t="shared" si="3"/>
        <v>11</v>
      </c>
      <c r="B32" s="16"/>
      <c r="C32" s="17"/>
      <c r="D32" s="18"/>
      <c r="E32" s="18"/>
      <c r="F32" s="18"/>
      <c r="G32" s="19"/>
      <c r="H32" s="6" t="str">
        <f t="shared" si="0"/>
        <v>fe_#00000</v>
      </c>
      <c r="I32" s="6" t="str">
        <f t="shared" si="1"/>
        <v xml:space="preserve">[COMMIT] </v>
      </c>
      <c r="J32" s="6" t="str">
        <f t="shared" si="2"/>
        <v>TAG-LO-PH-STEP1.1-</v>
      </c>
    </row>
    <row r="33" spans="1:10" s="5" customFormat="1" ht="12.4" thickBot="1">
      <c r="A33" s="5">
        <f t="shared" si="3"/>
        <v>12</v>
      </c>
      <c r="B33" s="16"/>
      <c r="C33" s="17"/>
      <c r="D33" s="18"/>
      <c r="E33" s="18"/>
      <c r="F33" s="18"/>
      <c r="G33" s="19"/>
      <c r="H33" s="6" t="str">
        <f t="shared" si="0"/>
        <v>fe_#00000</v>
      </c>
      <c r="I33" s="6" t="str">
        <f t="shared" si="1"/>
        <v xml:space="preserve">[COMMIT] </v>
      </c>
      <c r="J33" s="6" t="str">
        <f t="shared" si="2"/>
        <v>TAG-LO-PH-STEP1.1-</v>
      </c>
    </row>
    <row r="34" spans="1:10" s="5" customFormat="1" ht="12.4" thickBot="1">
      <c r="A34" s="5">
        <f t="shared" si="3"/>
        <v>13</v>
      </c>
      <c r="B34" s="16"/>
      <c r="C34" s="17"/>
      <c r="D34" s="18"/>
      <c r="E34" s="18"/>
      <c r="F34" s="18"/>
      <c r="G34" s="19"/>
      <c r="H34" s="6" t="str">
        <f t="shared" si="0"/>
        <v>fe_#00000</v>
      </c>
      <c r="I34" s="6" t="str">
        <f t="shared" si="1"/>
        <v xml:space="preserve">[COMMIT] </v>
      </c>
      <c r="J34" s="6" t="str">
        <f t="shared" si="2"/>
        <v>TAG-LO-PH-STEP1.1-</v>
      </c>
    </row>
    <row r="35" spans="1:10" s="5" customFormat="1" ht="12.4" thickBot="1">
      <c r="A35" s="5">
        <f t="shared" si="3"/>
        <v>14</v>
      </c>
      <c r="B35" s="16"/>
      <c r="C35" s="17"/>
      <c r="D35" s="18"/>
      <c r="E35" s="18"/>
      <c r="F35" s="18"/>
      <c r="G35" s="19"/>
      <c r="H35" s="6" t="str">
        <f t="shared" si="0"/>
        <v>fe_#00000</v>
      </c>
      <c r="I35" s="6" t="str">
        <f t="shared" si="1"/>
        <v xml:space="preserve">[COMMIT] </v>
      </c>
      <c r="J35" s="6" t="str">
        <f t="shared" si="2"/>
        <v>TAG-LO-PH-STEP1.1-</v>
      </c>
    </row>
    <row r="36" spans="1:10" s="5" customFormat="1" ht="12.4" thickBot="1">
      <c r="A36" s="5">
        <f t="shared" si="3"/>
        <v>15</v>
      </c>
      <c r="B36" s="16"/>
      <c r="C36" s="17"/>
      <c r="D36" s="18"/>
      <c r="E36" s="18"/>
      <c r="F36" s="18"/>
      <c r="G36" s="19"/>
      <c r="H36" s="6" t="str">
        <f t="shared" si="0"/>
        <v>fe_#00000</v>
      </c>
      <c r="I36" s="6" t="str">
        <f t="shared" si="1"/>
        <v xml:space="preserve">[COMMIT] </v>
      </c>
      <c r="J36" s="6" t="str">
        <f t="shared" si="2"/>
        <v>TAG-LO-PH-STEP1.1-</v>
      </c>
    </row>
    <row r="37" spans="1:10" s="5" customFormat="1" ht="12.4" thickBot="1">
      <c r="A37" s="5">
        <f t="shared" si="3"/>
        <v>16</v>
      </c>
      <c r="B37" s="16"/>
      <c r="C37" s="17"/>
      <c r="D37" s="18"/>
      <c r="E37" s="18"/>
      <c r="F37" s="18"/>
      <c r="G37" s="19"/>
      <c r="H37" s="6" t="str">
        <f t="shared" si="0"/>
        <v>fe_#00000</v>
      </c>
      <c r="I37" s="6" t="str">
        <f t="shared" si="1"/>
        <v xml:space="preserve">[COMMIT] </v>
      </c>
      <c r="J37" s="6" t="str">
        <f t="shared" si="2"/>
        <v>TAG-LO-PH-STEP1.1-</v>
      </c>
    </row>
    <row r="38" spans="1:10" s="5" customFormat="1" ht="12.4" thickBot="1">
      <c r="A38" s="5">
        <f t="shared" si="3"/>
        <v>17</v>
      </c>
      <c r="B38" s="16"/>
      <c r="C38" s="17"/>
      <c r="D38" s="18"/>
      <c r="E38" s="18"/>
      <c r="F38" s="18"/>
      <c r="G38" s="19"/>
      <c r="H38" s="6" t="str">
        <f t="shared" si="0"/>
        <v>fe_#00000</v>
      </c>
      <c r="I38" s="6" t="str">
        <f t="shared" si="1"/>
        <v xml:space="preserve">[COMMIT] </v>
      </c>
      <c r="J38" s="6" t="str">
        <f t="shared" si="2"/>
        <v>TAG-LO-PH-STEP1.1-</v>
      </c>
    </row>
    <row r="39" spans="1:10" s="5" customFormat="1" ht="12.4" thickBot="1">
      <c r="A39" s="5">
        <f t="shared" si="3"/>
        <v>18</v>
      </c>
      <c r="B39" s="16"/>
      <c r="C39" s="17"/>
      <c r="D39" s="18"/>
      <c r="E39" s="18"/>
      <c r="F39" s="18"/>
      <c r="G39" s="19"/>
      <c r="H39" s="6" t="str">
        <f t="shared" si="0"/>
        <v>fe_#00000</v>
      </c>
      <c r="I39" s="6" t="str">
        <f t="shared" si="1"/>
        <v xml:space="preserve">[COMMIT] </v>
      </c>
      <c r="J39" s="6" t="str">
        <f t="shared" si="2"/>
        <v>TAG-LO-PH-STEP1.1-</v>
      </c>
    </row>
    <row r="40" spans="1:10" s="5" customFormat="1" ht="12.4" thickBot="1">
      <c r="A40" s="5">
        <f t="shared" si="3"/>
        <v>19</v>
      </c>
      <c r="B40" s="16"/>
      <c r="C40" s="17"/>
      <c r="D40" s="18"/>
      <c r="E40" s="18"/>
      <c r="F40" s="18"/>
      <c r="G40" s="19"/>
      <c r="H40" s="6" t="str">
        <f t="shared" si="0"/>
        <v>fe_#00000</v>
      </c>
      <c r="I40" s="6" t="str">
        <f t="shared" si="1"/>
        <v xml:space="preserve">[COMMIT] </v>
      </c>
      <c r="J40" s="6" t="str">
        <f t="shared" si="2"/>
        <v>TAG-LO-PH-STEP1.1-</v>
      </c>
    </row>
    <row r="41" spans="1:10" s="5" customFormat="1" ht="12.4" thickBot="1">
      <c r="A41" s="5">
        <f t="shared" si="3"/>
        <v>20</v>
      </c>
      <c r="B41" s="16"/>
      <c r="C41" s="17"/>
      <c r="D41" s="18"/>
      <c r="E41" s="18"/>
      <c r="F41" s="18"/>
      <c r="G41" s="19"/>
      <c r="H41" s="6" t="str">
        <f t="shared" si="0"/>
        <v>fe_#00000</v>
      </c>
      <c r="I41" s="6" t="str">
        <f t="shared" si="1"/>
        <v xml:space="preserve">[COMMIT] </v>
      </c>
      <c r="J41" s="6" t="str">
        <f t="shared" si="2"/>
        <v>TAG-LO-PH-STEP1.1-</v>
      </c>
    </row>
  </sheetData>
  <mergeCells count="11">
    <mergeCell ref="D17:G17"/>
    <mergeCell ref="D16:G16"/>
    <mergeCell ref="D5:G5"/>
    <mergeCell ref="D6:G6"/>
    <mergeCell ref="D15:G15"/>
    <mergeCell ref="D7:G7"/>
    <mergeCell ref="D10:G10"/>
    <mergeCell ref="D11:G11"/>
    <mergeCell ref="D12:G12"/>
    <mergeCell ref="D13:G13"/>
    <mergeCell ref="D14:G14"/>
  </mergeCells>
  <phoneticPr fontId="1"/>
  <dataValidations count="2">
    <dataValidation type="list" allowBlank="1" showInputMessage="1" showErrorMessage="1" sqref="D7 D14:D15 D17" xr:uid="{B4A3B225-9897-40C9-94F4-263A99389ED8}">
      <formula1>"YES,NO"</formula1>
    </dataValidation>
    <dataValidation type="list" allowBlank="1" showInputMessage="1" showErrorMessage="1" sqref="B22:B41" xr:uid="{FF15CE8E-900C-4BD0-875B-103EF6BC0BC6}">
      <formula1>"Enable,Disable"</formula1>
    </dataValidation>
  </dataValidations>
  <pageMargins left="0.7" right="0.7" top="0.75" bottom="0.75" header="0.3" footer="0.3"/>
  <pageSetup paperSize="9" orientation="portrait" horizontalDpi="0" verticalDpi="0" r:id="rId1"/>
  <ignoredErrors>
    <ignoredError sqref="A22:A41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529523-4DE5-410C-90A1-2A6091FC59DD}">
  <sheetPr codeName="Sheet2"/>
  <dimension ref="A1:C10"/>
  <sheetViews>
    <sheetView showGridLines="0" tabSelected="1" zoomScale="115" zoomScaleNormal="115" workbookViewId="0">
      <selection activeCell="C18" sqref="C18"/>
    </sheetView>
  </sheetViews>
  <sheetFormatPr defaultColWidth="3.5625" defaultRowHeight="15"/>
  <cols>
    <col min="1" max="1" width="3.5625" style="2"/>
    <col min="2" max="2" width="4.5" style="2" customWidth="1"/>
    <col min="3" max="3" width="74.0625" style="2" customWidth="1"/>
    <col min="4" max="16384" width="3.5625" style="2"/>
  </cols>
  <sheetData>
    <row r="1" spans="1:3" ht="22.15">
      <c r="A1" s="3" t="s">
        <v>31</v>
      </c>
    </row>
    <row r="2" spans="1:3">
      <c r="B2" s="2" t="s">
        <v>55</v>
      </c>
    </row>
    <row r="3" spans="1:3">
      <c r="B3" s="8"/>
    </row>
    <row r="5" spans="1:3" ht="16.899999999999999" thickBot="1">
      <c r="B5" s="11" t="s">
        <v>30</v>
      </c>
    </row>
    <row r="6" spans="1:3" ht="42" customHeight="1" thickBot="1">
      <c r="C6" s="15" t="s">
        <v>38</v>
      </c>
    </row>
    <row r="7" spans="1:3" ht="88.15" customHeight="1" thickBot="1">
      <c r="C7" s="15" t="s">
        <v>37</v>
      </c>
    </row>
    <row r="9" spans="1:3" ht="16.899999999999999" thickBot="1">
      <c r="B9" s="11" t="s">
        <v>29</v>
      </c>
    </row>
    <row r="10" spans="1:3" ht="64.900000000000006" customHeight="1" thickBot="1">
      <c r="C10" s="15" t="s">
        <v>51</v>
      </c>
    </row>
  </sheetData>
  <phoneticPr fontId="1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un001_Click">
                <anchor moveWithCells="1" sizeWithCells="1">
                  <from>
                    <xdr:col>3</xdr:col>
                    <xdr:colOff>119063</xdr:colOff>
                    <xdr:row>5</xdr:row>
                    <xdr:rowOff>80963</xdr:rowOff>
                  </from>
                  <to>
                    <xdr:col>7</xdr:col>
                    <xdr:colOff>104775</xdr:colOff>
                    <xdr:row>5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Run002_Click">
                <anchor moveWithCells="1" sizeWithCells="1">
                  <from>
                    <xdr:col>3</xdr:col>
                    <xdr:colOff>133350</xdr:colOff>
                    <xdr:row>6</xdr:row>
                    <xdr:rowOff>366713</xdr:rowOff>
                  </from>
                  <to>
                    <xdr:col>7</xdr:col>
                    <xdr:colOff>95250</xdr:colOff>
                    <xdr:row>6</xdr:row>
                    <xdr:rowOff>623888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Button 5">
              <controlPr defaultSize="0" print="0" autoFill="0" autoPict="0" macro="[0]!CollectTag_Click">
                <anchor moveWithCells="1" sizeWithCells="1">
                  <from>
                    <xdr:col>3</xdr:col>
                    <xdr:colOff>147638</xdr:colOff>
                    <xdr:row>9</xdr:row>
                    <xdr:rowOff>238125</xdr:rowOff>
                  </from>
                  <to>
                    <xdr:col>7</xdr:col>
                    <xdr:colOff>109538</xdr:colOff>
                    <xdr:row>9</xdr:row>
                    <xdr:rowOff>495300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6DF3EE-43D3-4077-AA09-E5C3BA829EAF}">
  <sheetPr codeName="Sheet3">
    <tabColor rgb="FFFF0000"/>
  </sheetPr>
  <dimension ref="A1:G5"/>
  <sheetViews>
    <sheetView showGridLines="0" zoomScale="130" zoomScaleNormal="130" workbookViewId="0">
      <selection activeCell="C18" sqref="C18"/>
    </sheetView>
  </sheetViews>
  <sheetFormatPr defaultColWidth="3.5625" defaultRowHeight="15"/>
  <cols>
    <col min="1" max="1" width="3.5625" style="9"/>
    <col min="2" max="2" width="4.5" style="9" customWidth="1"/>
    <col min="3" max="3" width="27.5" style="9" customWidth="1"/>
    <col min="4" max="4" width="5.5" style="9" customWidth="1"/>
    <col min="5" max="5" width="5.875" style="9" customWidth="1"/>
    <col min="6" max="6" width="13.5" style="9" customWidth="1"/>
    <col min="7" max="7" width="6.9375" style="9" customWidth="1"/>
    <col min="8" max="8" width="8.3125" style="9" customWidth="1"/>
    <col min="9" max="9" width="9.4375" style="9" customWidth="1"/>
    <col min="10" max="10" width="7.375" style="9" customWidth="1"/>
    <col min="11" max="11" width="5.9375" style="9" customWidth="1"/>
    <col min="12" max="16384" width="3.5625" style="9"/>
  </cols>
  <sheetData>
    <row r="1" spans="1:7" ht="22.15">
      <c r="A1" s="10" t="s">
        <v>48</v>
      </c>
      <c r="D1" s="7" t="s">
        <v>21</v>
      </c>
    </row>
    <row r="4" spans="1:7" ht="42" customHeight="1">
      <c r="B4" s="7"/>
      <c r="C4" s="7"/>
      <c r="D4" s="7"/>
      <c r="E4" s="7"/>
      <c r="F4" s="7"/>
      <c r="G4" s="7"/>
    </row>
    <row r="5" spans="1:7" ht="88.15" customHeight="1"/>
  </sheetData>
  <phoneticPr fontId="1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DeleteBranch_Click">
                <anchor moveWithCells="1" sizeWithCells="1">
                  <from>
                    <xdr:col>1</xdr:col>
                    <xdr:colOff>66675</xdr:colOff>
                    <xdr:row>2</xdr:row>
                    <xdr:rowOff>61913</xdr:rowOff>
                  </from>
                  <to>
                    <xdr:col>2</xdr:col>
                    <xdr:colOff>1290638</xdr:colOff>
                    <xdr:row>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5" name="Button 4">
              <controlPr defaultSize="0" print="0" autoFill="0" autoPict="0" macro="[0]!DeleteTag_Click">
                <anchor moveWithCells="1" sizeWithCells="1">
                  <from>
                    <xdr:col>1</xdr:col>
                    <xdr:colOff>95250</xdr:colOff>
                    <xdr:row>3</xdr:row>
                    <xdr:rowOff>390525</xdr:rowOff>
                  </from>
                  <to>
                    <xdr:col>2</xdr:col>
                    <xdr:colOff>1309688</xdr:colOff>
                    <xdr:row>4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params</vt:lpstr>
      <vt:lpstr>main</vt:lpstr>
      <vt:lpstr>danger_zone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mtk k</dc:creator>
  <cp:lastModifiedBy>mtk kwsk</cp:lastModifiedBy>
  <dcterms:created xsi:type="dcterms:W3CDTF">2015-06-05T18:19:34Z</dcterms:created>
  <dcterms:modified xsi:type="dcterms:W3CDTF">2023-05-06T13:04:27Z</dcterms:modified>
</cp:coreProperties>
</file>