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97A91E0D-ACAA-47AF-A3D9-2BF8C807EC3F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" l="1"/>
  <c r="J26" i="1"/>
  <c r="I26" i="1"/>
  <c r="A26" i="1"/>
  <c r="K25" i="1"/>
  <c r="J25" i="1"/>
  <c r="I25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4" i="1"/>
  <c r="K23" i="1"/>
  <c r="K22" i="1"/>
  <c r="A23" i="1"/>
  <c r="A24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4" i="1"/>
  <c r="I24" i="1"/>
  <c r="J23" i="1"/>
  <c r="J22" i="1"/>
  <c r="I23" i="1"/>
  <c r="I22" i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<sst xmlns="http://schemas.openxmlformats.org/spreadsheetml/2006/main" count="85" uniqueCount="61">
  <si>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</si>
  <si>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</si>
  <si>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</si>
  <si>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</si>
  <si>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</si>
  <si>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</si>
  <si>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</si>
  <si>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</si>
  <si>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</si>
  <si>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</si>
  <si>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</si>
  <si>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</si>
  <si>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</si>
  <si>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</si>
  <si>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</si>
  <si>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</si>
  <si>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</si>
  <si>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</si>
  <si>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</si>
  <si>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</si>
  <si>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</si>
  <si>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</si>
  <si>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</si>
  <si>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</si>
  <si>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</si>
  <si>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</si>
  <si>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</si>
  <si>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</si>
  <si>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</si>
  <si>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</si>
  <si>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</si>
  <si>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</si>
  <si>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</si>
  <si>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</si>
  <si>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</si>
  <si>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</si>
  <si>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</si>
  <si>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</si>
  <si>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</si>
  <si>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</si>
  <si>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</si>
  <si>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</si>
  <si>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</si>
  <si>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</si>
  <si>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</si>
  <si>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</si>
  <si>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</si>
  <si>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</si>
  <si>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</si>
  <si>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</si>
  <si>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</si>
  <si>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</si>
  <si>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</si>
  <si>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</si>
  <si>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</si>
  <si>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</si>
  <si>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</si>
  <si>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</si>
  <si>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</si>
  <si>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</si>
  <si>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1.2.3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</si>
</sst>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topLeftCell="A13" zoomScaleNormal="100" workbookViewId="0">
      <selection activeCell="C34" sqref="C34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28</v>
      </c>
    </row>
    <row r="2" spans="1:24">
      <c r="A2" s="7" t="s">
        <v>20</v>
      </c>
      <c r="D2" s="7" t="s">
        <v>20</v>
      </c>
    </row>
    <row r="4" spans="1:24" ht="15.4" thickBot="1">
      <c r="B4" s="1" t="s">
        <v>29</v>
      </c>
      <c r="D4" s="2" t="s">
        <v>3</v>
      </c>
      <c r="I4" s="23" t="s">
        <v>2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5"/>
    </row>
    <row r="5" spans="1:24" s="4" customFormat="1" ht="35.25" customHeight="1" thickBot="1">
      <c r="C5" s="19" t="s">
        <v>8</v>
      </c>
      <c r="D5" s="27" t="s">
        <v>58</v>
      </c>
      <c r="E5" s="28"/>
      <c r="F5" s="28"/>
      <c r="G5" s="28"/>
      <c r="H5" s="2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9" t="s">
        <v>9</v>
      </c>
      <c r="D6" s="27" t="s">
        <v>17</v>
      </c>
      <c r="E6" s="28"/>
      <c r="F6" s="28"/>
      <c r="G6" s="28"/>
      <c r="H6" s="2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9" t="s">
        <v>56</v>
      </c>
      <c r="D7" s="27"/>
      <c r="E7" s="28"/>
      <c r="F7" s="28"/>
      <c r="G7" s="28"/>
      <c r="H7" s="29"/>
      <c r="I7" s="11" t="s">
        <v>57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9" t="s">
        <v>0</v>
      </c>
      <c r="D8" s="27" t="s">
        <v>43</v>
      </c>
      <c r="E8" s="28"/>
      <c r="F8" s="28"/>
      <c r="G8" s="28"/>
      <c r="H8" s="29"/>
      <c r="I8" s="11" t="s">
        <v>40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10" spans="1:24" ht="15.4" thickBot="1">
      <c r="B10" s="1" t="s">
        <v>30</v>
      </c>
      <c r="I10" s="23" t="s">
        <v>2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5"/>
    </row>
    <row r="11" spans="1:24" s="4" customFormat="1" ht="32.65" customHeight="1" thickBot="1">
      <c r="C11" s="20" t="s">
        <v>10</v>
      </c>
      <c r="D11" s="27" t="s">
        <v>7</v>
      </c>
      <c r="E11" s="28"/>
      <c r="F11" s="28"/>
      <c r="G11" s="28"/>
      <c r="H11" s="29"/>
      <c r="I11" s="11" t="s">
        <v>14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3"/>
    </row>
    <row r="12" spans="1:24" s="4" customFormat="1" ht="15.4" customHeight="1" thickBot="1">
      <c r="C12" s="20" t="s">
        <v>11</v>
      </c>
      <c r="D12" s="27" t="s">
        <v>18</v>
      </c>
      <c r="E12" s="28"/>
      <c r="F12" s="28"/>
      <c r="G12" s="28"/>
      <c r="H12" s="29"/>
      <c r="I12" s="11" t="s">
        <v>1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3"/>
    </row>
    <row r="13" spans="1:24" s="4" customFormat="1" ht="18" thickBot="1">
      <c r="C13" s="20" t="s">
        <v>13</v>
      </c>
      <c r="D13" s="27" t="s">
        <v>34</v>
      </c>
      <c r="E13" s="28"/>
      <c r="F13" s="28"/>
      <c r="G13" s="28"/>
      <c r="H13" s="29"/>
      <c r="I13" s="11" t="s">
        <v>15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8" thickBot="1">
      <c r="C14" s="20" t="s">
        <v>12</v>
      </c>
      <c r="D14" s="27" t="s">
        <v>6</v>
      </c>
      <c r="E14" s="28"/>
      <c r="F14" s="28"/>
      <c r="G14" s="28"/>
      <c r="H14" s="29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0" t="s">
        <v>33</v>
      </c>
      <c r="D15" s="30" t="s">
        <v>43</v>
      </c>
      <c r="E15" s="31"/>
      <c r="F15" s="31"/>
      <c r="G15" s="31"/>
      <c r="H15" s="29"/>
      <c r="I15" s="11" t="s">
        <v>39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0" t="s">
        <v>32</v>
      </c>
      <c r="D16" s="30" t="s">
        <v>43</v>
      </c>
      <c r="E16" s="31"/>
      <c r="F16" s="31"/>
      <c r="G16" s="31"/>
      <c r="H16" s="29"/>
      <c r="I16" s="11" t="s">
        <v>39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customHeight="1" thickBot="1">
      <c r="C17" s="20" t="s">
        <v>48</v>
      </c>
      <c r="D17" s="27" t="s">
        <v>41</v>
      </c>
      <c r="E17" s="28"/>
      <c r="F17" s="28"/>
      <c r="G17" s="28"/>
      <c r="H17" s="29"/>
      <c r="I17" s="11" t="s">
        <v>55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9" spans="1:24" ht="15.4" thickBot="1">
      <c r="I19" s="23" t="s">
        <v>2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5"/>
    </row>
    <row r="20" spans="1:24" ht="15.4" thickBot="1">
      <c r="B20" s="1" t="s">
        <v>31</v>
      </c>
      <c r="I20" s="11" t="s">
        <v>52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3"/>
    </row>
    <row r="21" spans="1:24" s="4" customFormat="1" ht="43.5" customHeight="1" thickBot="1">
      <c r="B21" s="21" t="s">
        <v>37</v>
      </c>
      <c r="C21" s="21" t="s">
        <v>19</v>
      </c>
      <c r="D21" s="22" t="s">
        <v>21</v>
      </c>
      <c r="E21" s="22" t="s">
        <v>22</v>
      </c>
      <c r="F21" s="22" t="s">
        <v>23</v>
      </c>
      <c r="G21" s="21" t="s">
        <v>24</v>
      </c>
      <c r="H21" s="21" t="s">
        <v>47</v>
      </c>
      <c r="I21" s="26" t="s">
        <v>44</v>
      </c>
      <c r="J21" s="26" t="s">
        <v>45</v>
      </c>
      <c r="K21" s="26" t="s">
        <v>46</v>
      </c>
    </row>
    <row r="22" spans="1:24" s="4" customFormat="1" ht="12.4" thickBot="1">
      <c r="A22" s="4" t="s">
        <v>16</v>
      </c>
      <c r="B22" s="15" t="s">
        <v>38</v>
      </c>
      <c r="C22" s="16"/>
      <c r="D22" s="17" t="s">
        <v>16</v>
      </c>
      <c r="E22" s="17" t="s">
        <v>16</v>
      </c>
      <c r="F22" s="17" t="s">
        <v>4</v>
      </c>
      <c r="G22" s="18">
        <v>1</v>
      </c>
      <c r="H22" s="16">
        <v>1.1000000000000001</v>
      </c>
      <c r="I22" s="5" t="str">
        <f t="shared" ref="I22:I41" si="0">"fe_" &amp; F22 &amp; "#" &amp; TEXT(G22,"00000")</f>
        <v>fe_PID_1#00001</v>
      </c>
      <c r="J22" s="5" t="str">
        <f t="shared" ref="J22:J41" si="1">"[COMMIT] " &amp; F22</f>
        <v>[COMMIT] PID_1</v>
      </c>
      <c r="K22" s="5" t="str">
        <f>"TAG-" &amp; "LO" &amp; D22 &amp; "-PH" &amp; E22 &amp; "-STEP" &amp; H22 &amp; "-" &amp;  F22</f>
        <v>TAG-LO1-PH1-STEP1.1-PID_1</v>
      </c>
    </row>
    <row r="23" spans="1:24" s="4" customFormat="1" ht="12.4" thickBot="1">
      <c r="A23" s="4">
        <f>A22+1</f>
        <v>2</v>
      </c>
      <c r="B23" s="15"/>
      <c r="C23" s="16"/>
      <c r="D23" s="17"/>
      <c r="E23" s="17"/>
      <c r="F23" s="17"/>
      <c r="G23" s="18"/>
      <c r="H23" s="16"/>
      <c r="I23" s="5" t="str">
        <f t="shared" si="0"/>
        <v>fe_#00000</v>
      </c>
      <c r="J23" s="5" t="str">
        <f t="shared" si="1"/>
        <v xml:space="preserve">[COMMIT] </v>
      </c>
      <c r="K23" s="5" t="str">
        <f t="shared" ref="K23:K41" si="2">"TAG-" &amp; "LO" &amp; D23 &amp; "-PH" &amp; E23 &amp; "-STEP" &amp; H23 &amp; "-" &amp;  F23</f>
        <v>TAG-LO-PH-STEP-</v>
      </c>
    </row>
    <row r="24" spans="1:24" s="4" customFormat="1" ht="12.4" thickBot="1">
      <c r="A24" s="4">
        <f t="shared" ref="A24:A41" si="3">A23+1</f>
        <v>3</v>
      </c>
      <c r="B24" s="15" t="s">
        <v>38</v>
      </c>
      <c r="C24" s="16"/>
      <c r="D24" s="17" t="s">
        <v>16</v>
      </c>
      <c r="E24" s="17" t="s">
        <v>16</v>
      </c>
      <c r="F24" s="17" t="s">
        <v>4</v>
      </c>
      <c r="G24" s="18">
        <v>1</v>
      </c>
      <c r="H24" s="16">
        <v>1.1000000000000001</v>
      </c>
      <c r="I24" s="5" t="str">
        <f t="shared" si="0"/>
        <v>fe_PID_1#00001</v>
      </c>
      <c r="J24" s="5" t="str">
        <f t="shared" si="1"/>
        <v>[COMMIT] PID_1</v>
      </c>
      <c r="K24" s="5" t="str">
        <f t="shared" si="2"/>
        <v>TAG-LO1-PH1-STEP1.1-PID_1</v>
      </c>
    </row>
    <row r="25" spans="1:24" s="4" customFormat="1" ht="12.4" thickBot="1">
      <c r="A25" s="4" t="s">
        <v>16</v>
      </c>
      <c r="B25" s="15" t="s">
        <v>38</v>
      </c>
      <c r="C25" s="16"/>
      <c r="D25" s="17" t="s">
        <v>53</v>
      </c>
      <c r="E25" s="17" t="s">
        <v>54</v>
      </c>
      <c r="F25" s="17" t="s">
        <v>5</v>
      </c>
      <c r="G25" s="18">
        <v>2</v>
      </c>
      <c r="H25" s="16">
        <v>1.1000000000000001</v>
      </c>
      <c r="I25" s="5" t="str">
        <f t="shared" ref="I25:I26" si="4">"fe_" &amp; F25 &amp; "#" &amp; TEXT(G25,"00000")</f>
        <v>fe_PID_2#00002</v>
      </c>
      <c r="J25" s="5" t="str">
        <f t="shared" ref="J25:J26" si="5">"[COMMIT] " &amp; F25</f>
        <v>[COMMIT] PID_2</v>
      </c>
      <c r="K25" s="5" t="str">
        <f>"TAG-" &amp; "LO" &amp; D25 &amp; "-PH" &amp; E25 &amp; "-STEP" &amp; H25 &amp; "-" &amp;  F25</f>
        <v>TAG-LO2-PH3-STEP1.1-PID_2</v>
      </c>
    </row>
    <row r="26" spans="1:24" s="4" customFormat="1" ht="12.4" thickBot="1">
      <c r="A26" s="4">
        <f>A25+1</f>
        <v>2</v>
      </c>
      <c r="B26" s="15" t="s">
        <v>38</v>
      </c>
      <c r="C26" s="16" t="s">
        <v>42</v>
      </c>
      <c r="D26" s="17" t="s">
        <v>16</v>
      </c>
      <c r="E26" s="17" t="s">
        <v>16</v>
      </c>
      <c r="F26" s="17" t="s">
        <v>4</v>
      </c>
      <c r="G26" s="18">
        <v>1</v>
      </c>
      <c r="H26" s="16">
        <v>1.1000000000000001</v>
      </c>
      <c r="I26" s="5" t="str">
        <f t="shared" si="4"/>
        <v>fe_PID_1#00001</v>
      </c>
      <c r="J26" s="5" t="str">
        <f t="shared" si="5"/>
        <v>[COMMIT] PID_1</v>
      </c>
      <c r="K26" s="5" t="str">
        <f t="shared" ref="K26" si="6">"TAG-" &amp; "LO" &amp; D26 &amp; "-PH" &amp; E26 &amp; "-STEP" &amp; H26 &amp; "-" &amp;  F26</f>
        <v>TAG-LO1-PH1-STEP1.1-PID_1</v>
      </c>
    </row>
    <row r="27" spans="1:24" s="4" customFormat="1" ht="12.4" thickBot="1">
      <c r="A27" s="4">
        <f t="shared" si="3"/>
        <v>3</v>
      </c>
      <c r="B27" s="15" t="s">
        <v>38</v>
      </c>
      <c r="C27" s="16" t="s">
        <v>35</v>
      </c>
      <c r="D27" s="17" t="s">
        <v>53</v>
      </c>
      <c r="E27" s="17" t="s">
        <v>54</v>
      </c>
      <c r="F27" s="17" t="s">
        <v>5</v>
      </c>
      <c r="G27" s="18">
        <v>2</v>
      </c>
      <c r="H27" s="16">
        <v>1.1000000000000001</v>
      </c>
      <c r="I27" s="5" t="str">
        <f t="shared" si="0"/>
        <v>fe_PID_2#00002</v>
      </c>
      <c r="J27" s="5" t="str">
        <f t="shared" si="1"/>
        <v>[COMMIT] PID_2</v>
      </c>
      <c r="K27" s="5" t="str">
        <f t="shared" si="2"/>
        <v>TAG-LO2-PH3-STEP1.1-PID_2</v>
      </c>
    </row>
    <row r="28" spans="1:24" s="4" customFormat="1" ht="12.4" thickBot="1">
      <c r="A28" s="4">
        <f t="shared" si="3"/>
        <v>4</v>
      </c>
      <c r="B28" s="15"/>
      <c r="C28" s="16"/>
      <c r="D28" s="17"/>
      <c r="E28" s="17"/>
      <c r="F28" s="17"/>
      <c r="G28" s="18"/>
      <c r="H28" s="16"/>
      <c r="I28" s="5" t="str">
        <f t="shared" si="0"/>
        <v>fe_#00000</v>
      </c>
      <c r="J28" s="5" t="str">
        <f t="shared" si="1"/>
        <v xml:space="preserve">[COMMIT] </v>
      </c>
      <c r="K28" s="5" t="str">
        <f t="shared" si="2"/>
        <v>TAG-LO-PH-STEP-</v>
      </c>
    </row>
    <row r="29" spans="1:24" s="4" customFormat="1" ht="12.4" thickBot="1">
      <c r="A29" s="4">
        <f t="shared" si="3"/>
        <v>5</v>
      </c>
      <c r="B29" s="15"/>
      <c r="C29" s="16"/>
      <c r="D29" s="17"/>
      <c r="E29" s="17"/>
      <c r="F29" s="17"/>
      <c r="G29" s="18"/>
      <c r="H29" s="16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6</v>
      </c>
      <c r="B30" s="15"/>
      <c r="C30" s="16"/>
      <c r="D30" s="17"/>
      <c r="E30" s="17"/>
      <c r="F30" s="17"/>
      <c r="G30" s="18"/>
      <c r="H30" s="16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7</v>
      </c>
      <c r="B31" s="15"/>
      <c r="C31" s="16"/>
      <c r="D31" s="17"/>
      <c r="E31" s="17"/>
      <c r="F31" s="17"/>
      <c r="G31" s="18"/>
      <c r="H31" s="16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8</v>
      </c>
      <c r="B32" s="15"/>
      <c r="C32" s="16"/>
      <c r="D32" s="17"/>
      <c r="E32" s="17"/>
      <c r="F32" s="17"/>
      <c r="G32" s="18"/>
      <c r="H32" s="16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1" s="4" customFormat="1" ht="12.4" thickBot="1">
      <c r="A33" s="4">
        <f t="shared" si="3"/>
        <v>9</v>
      </c>
      <c r="B33" s="15"/>
      <c r="C33" s="16"/>
      <c r="D33" s="17"/>
      <c r="E33" s="17"/>
      <c r="F33" s="17"/>
      <c r="G33" s="18"/>
      <c r="H33" s="16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1" s="4" customFormat="1" ht="12.4" thickBot="1">
      <c r="A34" s="4">
        <f t="shared" si="3"/>
        <v>10</v>
      </c>
      <c r="B34" s="15"/>
      <c r="C34" s="16"/>
      <c r="D34" s="17"/>
      <c r="E34" s="17"/>
      <c r="F34" s="17"/>
      <c r="G34" s="18"/>
      <c r="H34" s="16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1" s="4" customFormat="1" ht="12.4" thickBot="1">
      <c r="A35" s="4">
        <f t="shared" si="3"/>
        <v>11</v>
      </c>
      <c r="B35" s="15"/>
      <c r="C35" s="16"/>
      <c r="D35" s="17"/>
      <c r="E35" s="17"/>
      <c r="F35" s="17"/>
      <c r="G35" s="18"/>
      <c r="H35" s="16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1" s="4" customFormat="1" ht="12.4" thickBot="1">
      <c r="A36" s="4">
        <f t="shared" si="3"/>
        <v>12</v>
      </c>
      <c r="B36" s="15"/>
      <c r="C36" s="16"/>
      <c r="D36" s="17"/>
      <c r="E36" s="17"/>
      <c r="F36" s="17"/>
      <c r="G36" s="18"/>
      <c r="H36" s="16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1" s="4" customFormat="1" ht="12.4" thickBot="1">
      <c r="A37" s="4">
        <f t="shared" si="3"/>
        <v>13</v>
      </c>
      <c r="B37" s="15"/>
      <c r="C37" s="16"/>
      <c r="D37" s="17"/>
      <c r="E37" s="17"/>
      <c r="F37" s="17"/>
      <c r="G37" s="18"/>
      <c r="H37" s="16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1" s="4" customFormat="1" ht="12.4" thickBot="1">
      <c r="A38" s="4">
        <f t="shared" si="3"/>
        <v>14</v>
      </c>
      <c r="B38" s="15"/>
      <c r="C38" s="16"/>
      <c r="D38" s="17"/>
      <c r="E38" s="17"/>
      <c r="F38" s="17"/>
      <c r="G38" s="18"/>
      <c r="H38" s="16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1" s="4" customFormat="1" ht="12.4" thickBot="1">
      <c r="A39" s="4">
        <f t="shared" si="3"/>
        <v>15</v>
      </c>
      <c r="B39" s="15"/>
      <c r="C39" s="16"/>
      <c r="D39" s="17"/>
      <c r="E39" s="17"/>
      <c r="F39" s="17"/>
      <c r="G39" s="18"/>
      <c r="H39" s="16"/>
      <c r="I39" s="5" t="str">
        <f t="shared" si="0"/>
        <v>fe_#00000</v>
      </c>
      <c r="J39" s="5" t="str">
        <f t="shared" si="1"/>
        <v xml:space="preserve">[COMMIT] </v>
      </c>
      <c r="K39" s="5" t="str">
        <f t="shared" si="2"/>
        <v>TAG-LO-PH-STEP-</v>
      </c>
    </row>
    <row r="40" spans="1:11" s="4" customFormat="1" ht="12.4" thickBot="1">
      <c r="A40" s="4">
        <f t="shared" si="3"/>
        <v>16</v>
      </c>
      <c r="B40" s="15"/>
      <c r="C40" s="16"/>
      <c r="D40" s="17"/>
      <c r="E40" s="17"/>
      <c r="F40" s="17"/>
      <c r="G40" s="18"/>
      <c r="H40" s="16"/>
      <c r="I40" s="5" t="str">
        <f t="shared" si="0"/>
        <v>fe_#00000</v>
      </c>
      <c r="J40" s="5" t="str">
        <f t="shared" si="1"/>
        <v xml:space="preserve">[COMMIT] </v>
      </c>
      <c r="K40" s="5" t="str">
        <f t="shared" si="2"/>
        <v>TAG-LO-PH-STEP-</v>
      </c>
    </row>
    <row r="41" spans="1:11" s="4" customFormat="1" ht="12.4" thickBot="1">
      <c r="A41" s="4">
        <f t="shared" si="3"/>
        <v>17</v>
      </c>
      <c r="B41" s="15"/>
      <c r="C41" s="16"/>
      <c r="D41" s="17"/>
      <c r="E41" s="17"/>
      <c r="F41" s="17"/>
      <c r="G41" s="18"/>
      <c r="H41" s="16"/>
      <c r="I41" s="5" t="str">
        <f t="shared" si="0"/>
        <v>fe_#00000</v>
      </c>
      <c r="J41" s="5" t="str">
        <f t="shared" si="1"/>
        <v xml:space="preserve">[COMMIT] </v>
      </c>
      <c r="K41" s="5" t="str">
        <f t="shared" si="2"/>
        <v>TAG-LO-PH-STEP-</v>
      </c>
    </row>
  </sheetData>
  <mergeCells count="11">
    <mergeCell ref="D5:H5"/>
    <mergeCell ref="D6:H6"/>
    <mergeCell ref="D8:H8"/>
    <mergeCell ref="D11:H11"/>
    <mergeCell ref="D12:H12"/>
    <mergeCell ref="D7:H7"/>
    <mergeCell ref="D17:H17"/>
    <mergeCell ref="D13:H13"/>
    <mergeCell ref="D14:H14"/>
    <mergeCell ref="D15:H15"/>
    <mergeCell ref="D16:H16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24 A27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C3" sqref="C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27</v>
      </c>
    </row>
    <row r="2" spans="1:3">
      <c r="B2" s="2" t="s">
        <v>59</v>
      </c>
      <c r="C2" s="2" t="s">
        <v>60</v>
      </c>
    </row>
    <row r="3" spans="1:3">
      <c r="B3" s="7"/>
    </row>
    <row r="5" spans="1:3" ht="16.899999999999999" thickBot="1">
      <c r="B5" s="10" t="s">
        <v>26</v>
      </c>
    </row>
    <row r="6" spans="1:3" ht="42" customHeight="1" thickBot="1">
      <c r="C6" s="14" t="s">
        <v>49</v>
      </c>
    </row>
    <row r="7" spans="1:3" ht="88.15" customHeight="1" thickBot="1">
      <c r="C7" s="14" t="s">
        <v>50</v>
      </c>
    </row>
    <row r="9" spans="1:3" ht="16.899999999999999" thickBot="1">
      <c r="B9" s="10" t="s">
        <v>25</v>
      </c>
    </row>
    <row r="10" spans="1:3" ht="64.900000000000006" customHeight="1" thickBot="1">
      <c r="C10" s="14" t="s">
        <v>51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E12" sqref="E12"/>
    </sheetView>
  </sheetViews>
  <sheetFormatPr defaultColWidth="3.5625" defaultRowHeight="15"/>
  <cols>
    <col min="1" max="1" width="3.5625" style="8"/>
    <col min="2" max="2" width="4.5" style="8" customWidth="1"/>
    <col min="3" max="3" width="27.5" style="8" customWidth="1"/>
    <col min="4" max="4" width="5.5" style="8" customWidth="1"/>
    <col min="5" max="5" width="5.875" style="8" customWidth="1"/>
    <col min="6" max="6" width="13.5" style="8" customWidth="1"/>
    <col min="7" max="7" width="6.9375" style="8" customWidth="1"/>
    <col min="8" max="8" width="8.3125" style="8" customWidth="1"/>
    <col min="9" max="9" width="9.4375" style="8" customWidth="1"/>
    <col min="10" max="10" width="7.375" style="8" customWidth="1"/>
    <col min="11" max="11" width="5.9375" style="8" customWidth="1"/>
    <col min="12" max="16384" width="3.5625" style="8"/>
  </cols>
  <sheetData>
    <row r="1" spans="1:7" ht="22.15">
      <c r="A1" s="9" t="s">
        <v>36</v>
      </c>
      <c r="D1" s="6" t="s">
        <v>20</v>
      </c>
    </row>
    <row r="4" spans="1:7" ht="42" customHeight="1">
      <c r="B4" s="6"/>
      <c r="C4" s="6"/>
      <c r="D4" s="6"/>
      <c r="E4" s="6"/>
      <c r="F4" s="6"/>
      <c r="G4" s="6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2023-06-15T22:37:51Z</dcterms:modified>
</cp:coreProperties>
</file>