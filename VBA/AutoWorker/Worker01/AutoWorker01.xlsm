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37D9D894-5C6E-4837-8AA7-3EFBB3542C14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<sst xmlns="http://schemas.openxmlformats.org/spreadsheetml/2006/main" count="461" uniqueCount="130">
  <si>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</si>
  <si>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</si>
  <si>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</si>
  <si>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</si>
  <si>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</si>
  <si>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</si>
  <si>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</si>
  <si>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</si>
  <si>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</si>
  <si>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</si>
  <si>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</si>
  <si>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</si>
  <si>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</si>
  <si>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</si>
  <si>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</si>
  <si>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</si>
  <si>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</si>
  <si>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</si>
  <si>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</si>
  <si>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</si>
  <si>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</si>
  <si>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</si>
  <si>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</si>
  <si>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</si>
  <si>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</si>
  <si>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</si>
  <si>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</si>
  <si>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</si>
  <si>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</si>
  <si>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</si>
  <si>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</si>
  <si>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</si>
  <si>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</si>
  <si>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</si>
  <si>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</si>
  <si>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</si>
  <si>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</si>
  <si>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</si>
  <si>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</si>
  <si>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</si>
  <si>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</si>
  <si>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</si>
  <si>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</si>
  <si>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</si>
  <si>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</si>
  <si>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</si>
  <si>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</si>
  <si>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</si>
  <si>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</si>
  <si>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</si>
  <si>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</si>
  <si>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</si>
  <si>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</si>
  <si>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</si>
  <si>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</si>
  <si>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</si>
  <si>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</si>
  <si>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</si>
  <si>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</si>
  <si>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</si>
  <si>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</si>
  <si>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</si>
  <si>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</si>
  <si>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</si>
  <si>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</si>
  <si>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</si>
  <si>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</si>
  <si>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</si>
  <si>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</si>
  <si>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</si>
  <si>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</si>
  <si>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</si>
  <si>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</si>
  <si>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</si>
  <si>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</si>
  <si>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</si>
  <si>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</si>
  <si>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</si>
  <si>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</si>
  <si>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</si>
  <si>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</si>
  <si>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</si>
  <si>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</si>
  <si>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</si>
  <si>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</si>
  <si>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</si>
  <si>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</si>
  <si>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</si>
  <si>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</si>
  <si>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</si>
  <si>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</si>
  <si>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</si>
  <si>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</si>
  <si>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</si>
  <si>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</si>
  <si>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</si>
  <si>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</si>
  <si>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</si>
  <si>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</si>
  <si>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</si>
  <si>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</si>
  <si>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</si>
  <si>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</si>
  <si>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</si>
  <si>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</si>
  <si>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</si>
  <si>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</si>
  <si>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</si>
  <si>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</si>
  <si>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</si>
  <si>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</si>
  <si>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</si>
  <si>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</si>
  <si>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</si>
  <si>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</si>
  <si>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</si>
  <si>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</si>
  <si>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</si>
  <si>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</si>
  <si>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</si>
  <si>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</si>
  <si>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</si>
  <si>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</si>
  <si>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</si>
  <si>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</si>
  <si>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1.7.2</t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</si>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</sst>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7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49" fontId="5" fillId="5" borderId="3" xfId="0" applyNumberFormat="1" applyFont="1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zoomScaleNormal="100" workbookViewId="0"/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37</v>
      </c>
      <c r="B2" s="1" t="s">
        <v>125</v>
      </c>
    </row>
    <row r="3" spans="1:25">
      <c r="B3" s="6"/>
      <c r="D3" s="6" t="s">
        <v>124</v>
      </c>
    </row>
    <row r="4" spans="1:25" ht="15.4" thickBot="1">
      <c r="D4" s="19" t="s">
        <v>52</v>
      </c>
      <c r="E4" s="19" t="s">
        <v>53</v>
      </c>
      <c r="F4" s="19" t="s">
        <v>54</v>
      </c>
      <c r="G4" s="19" t="s">
        <v>55</v>
      </c>
      <c r="H4" s="19" t="s">
        <v>56</v>
      </c>
      <c r="I4" s="20" t="s">
        <v>58</v>
      </c>
      <c r="J4" s="20" t="s">
        <v>59</v>
      </c>
      <c r="K4" s="20" t="s">
        <v>60</v>
      </c>
      <c r="L4" s="20" t="s">
        <v>61</v>
      </c>
      <c r="M4" s="20" t="s">
        <v>62</v>
      </c>
      <c r="N4" s="20" t="s">
        <v>63</v>
      </c>
      <c r="O4" s="20" t="s">
        <v>64</v>
      </c>
      <c r="P4" s="21" t="s">
        <v>65</v>
      </c>
      <c r="Q4" s="21" t="s">
        <v>66</v>
      </c>
      <c r="R4" s="22" t="s">
        <v>67</v>
      </c>
      <c r="S4" s="22" t="s">
        <v>68</v>
      </c>
      <c r="T4" s="22" t="s">
        <v>69</v>
      </c>
      <c r="U4" s="21" t="s">
        <v>70</v>
      </c>
      <c r="V4" s="21" t="s">
        <v>71</v>
      </c>
      <c r="W4" s="36" t="s">
        <v>112</v>
      </c>
    </row>
    <row r="5" spans="1:25" ht="16.899999999999999" thickBot="1">
      <c r="A5" s="9" t="s">
        <v>13</v>
      </c>
    </row>
    <row r="6" spans="1:25" ht="42" customHeight="1" thickBot="1">
      <c r="C6" s="25" t="s">
        <v>72</v>
      </c>
      <c r="D6" s="19" t="s">
        <v>52</v>
      </c>
      <c r="E6" s="19" t="s">
        <v>53</v>
      </c>
      <c r="F6" s="19" t="s">
        <v>54</v>
      </c>
      <c r="P6" s="21" t="s">
        <v>65</v>
      </c>
      <c r="Q6" s="21" t="s">
        <v>66</v>
      </c>
    </row>
    <row r="7" spans="1:25" ht="11.65" customHeight="1" thickBot="1"/>
    <row r="8" spans="1:25" ht="88.15" customHeight="1" thickBot="1">
      <c r="C8" s="25" t="s">
        <v>39</v>
      </c>
      <c r="E8" s="19" t="s">
        <v>53</v>
      </c>
      <c r="I8" s="20" t="s">
        <v>58</v>
      </c>
      <c r="J8" s="20" t="s">
        <v>59</v>
      </c>
      <c r="K8" s="20" t="s">
        <v>60</v>
      </c>
      <c r="L8" s="20" t="s">
        <v>61</v>
      </c>
      <c r="M8" s="20" t="s">
        <v>62</v>
      </c>
      <c r="N8" s="20" t="s">
        <v>63</v>
      </c>
      <c r="P8" s="21" t="s">
        <v>65</v>
      </c>
      <c r="Q8" s="21" t="s">
        <v>66</v>
      </c>
      <c r="R8" s="22" t="s">
        <v>67</v>
      </c>
      <c r="S8" s="22" t="s">
        <v>68</v>
      </c>
      <c r="T8" s="22" t="s">
        <v>69</v>
      </c>
      <c r="U8" s="21" t="s">
        <v>70</v>
      </c>
      <c r="V8" s="21" t="s">
        <v>71</v>
      </c>
      <c r="W8" s="36" t="s">
        <v>112</v>
      </c>
      <c r="Y8" s="38" t="s">
        <v>127</v>
      </c>
    </row>
    <row r="10" spans="1:25" ht="16.899999999999999" thickBot="1">
      <c r="A10" s="9" t="s">
        <v>12</v>
      </c>
      <c r="C10" s="34" t="s">
        <v>104</v>
      </c>
    </row>
    <row r="11" spans="1:25" ht="64.900000000000006" customHeight="1" thickBot="1">
      <c r="C11" s="25" t="s">
        <v>32</v>
      </c>
      <c r="E11" s="19" t="s">
        <v>53</v>
      </c>
      <c r="I11" s="20" t="s">
        <v>58</v>
      </c>
      <c r="J11" s="20" t="s">
        <v>59</v>
      </c>
      <c r="K11" s="20" t="s">
        <v>60</v>
      </c>
      <c r="L11" s="20" t="s">
        <v>61</v>
      </c>
      <c r="O11" s="20" t="s">
        <v>64</v>
      </c>
      <c r="P11" s="21" t="s">
        <v>65</v>
      </c>
      <c r="Q11" s="21" t="s">
        <v>66</v>
      </c>
      <c r="R11" s="22" t="s">
        <v>67</v>
      </c>
      <c r="S11" s="22" t="s">
        <v>68</v>
      </c>
      <c r="T11" s="22" t="s">
        <v>69</v>
      </c>
      <c r="U11" s="21" t="s">
        <v>70</v>
      </c>
      <c r="V11" s="21" t="s">
        <v>71</v>
      </c>
      <c r="Y11" s="38" t="s">
        <v>128</v>
      </c>
    </row>
    <row r="13" spans="1:25" ht="16.899999999999999" thickBot="1">
      <c r="A13" s="9" t="s">
        <v>38</v>
      </c>
    </row>
    <row r="14" spans="1:25" ht="62.25" customHeight="1" thickBot="1">
      <c r="C14" s="25" t="s">
        <v>40</v>
      </c>
      <c r="I14" s="20" t="s">
        <v>58</v>
      </c>
      <c r="J14" s="20" t="s">
        <v>59</v>
      </c>
      <c r="L14" s="20" t="s">
        <v>61</v>
      </c>
      <c r="M14" s="20" t="s">
        <v>62</v>
      </c>
      <c r="P14" s="21" t="s">
        <v>65</v>
      </c>
      <c r="R14" s="22" t="s">
        <v>67</v>
      </c>
      <c r="S14" s="22" t="s">
        <v>68</v>
      </c>
      <c r="T14" s="22" t="s">
        <v>69</v>
      </c>
      <c r="U14" s="21" t="s">
        <v>70</v>
      </c>
      <c r="V14" s="21" t="s">
        <v>71</v>
      </c>
      <c r="Y14" s="38" t="s">
        <v>127</v>
      </c>
    </row>
    <row r="16" spans="1:25" ht="16.899999999999999" thickBot="1">
      <c r="A16" s="9" t="s">
        <v>109</v>
      </c>
    </row>
    <row r="17" spans="1:25" ht="180.4" thickBot="1">
      <c r="C17" s="25" t="s">
        <v>126</v>
      </c>
      <c r="G17" s="19" t="s">
        <v>55</v>
      </c>
      <c r="H17" s="19" t="s">
        <v>56</v>
      </c>
      <c r="I17" s="20" t="s">
        <v>58</v>
      </c>
      <c r="J17" s="20" t="s">
        <v>59</v>
      </c>
      <c r="L17" s="20" t="s">
        <v>61</v>
      </c>
      <c r="M17" s="20" t="s">
        <v>62</v>
      </c>
      <c r="P17" s="21" t="s">
        <v>65</v>
      </c>
      <c r="Q17" s="21" t="s">
        <v>66</v>
      </c>
      <c r="R17" s="22" t="s">
        <v>67</v>
      </c>
      <c r="S17" s="22" t="s">
        <v>68</v>
      </c>
      <c r="T17" s="22" t="s">
        <v>69</v>
      </c>
      <c r="U17" s="21" t="s">
        <v>70</v>
      </c>
      <c r="V17" s="21" t="s">
        <v>71</v>
      </c>
      <c r="Y17" s="38" t="s">
        <v>127</v>
      </c>
    </row>
    <row r="18" spans="1:25" ht="16.899999999999999" thickBot="1">
      <c r="A18" s="9" t="s">
        <v>79</v>
      </c>
    </row>
    <row r="19" spans="1:25" ht="64.900000000000006" customHeight="1" thickBot="1">
      <c r="C19" s="25" t="s">
        <v>80</v>
      </c>
      <c r="E19" s="19" t="s">
        <v>53</v>
      </c>
      <c r="I19" s="20" t="s">
        <v>58</v>
      </c>
      <c r="J19" s="20" t="s">
        <v>59</v>
      </c>
      <c r="L19" s="20" t="s">
        <v>61</v>
      </c>
      <c r="P19" s="21" t="s">
        <v>65</v>
      </c>
      <c r="R19" s="22" t="s">
        <v>67</v>
      </c>
      <c r="S19" s="22" t="s">
        <v>68</v>
      </c>
      <c r="T19" s="22" t="s">
        <v>69</v>
      </c>
      <c r="U19" s="21" t="s">
        <v>70</v>
      </c>
      <c r="V19" s="21" t="s">
        <v>71</v>
      </c>
      <c r="Y19" s="38" t="s">
        <v>129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J24" sqref="J24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42</v>
      </c>
      <c r="D5" s="42" t="s">
        <v>36</v>
      </c>
      <c r="E5" s="43"/>
      <c r="F5" s="43"/>
      <c r="G5" s="43"/>
      <c r="H5" s="44"/>
      <c r="I5" s="45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41</v>
      </c>
      <c r="D6" s="42" t="s">
        <v>9</v>
      </c>
      <c r="E6" s="43"/>
      <c r="F6" s="43"/>
      <c r="G6" s="43"/>
      <c r="H6" s="44"/>
      <c r="I6" s="45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34</v>
      </c>
      <c r="D7" s="42"/>
      <c r="E7" s="43"/>
      <c r="F7" s="43"/>
      <c r="G7" s="43"/>
      <c r="H7" s="44"/>
      <c r="I7" s="45"/>
      <c r="J7" s="10" t="s">
        <v>35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2" t="s">
        <v>82</v>
      </c>
      <c r="E8" s="44"/>
      <c r="F8" s="44"/>
      <c r="G8" s="44"/>
      <c r="H8" s="44"/>
      <c r="I8" s="45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86</v>
      </c>
      <c r="D9" s="42" t="s">
        <v>83</v>
      </c>
      <c r="E9" s="43"/>
      <c r="F9" s="43"/>
      <c r="G9" s="43"/>
      <c r="H9" s="44"/>
      <c r="I9" s="45"/>
      <c r="J9" s="39" t="s">
        <v>84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1"/>
    </row>
    <row r="10" spans="1:25" s="4" customFormat="1" ht="49.5" customHeight="1" thickBot="1">
      <c r="C10" s="13" t="s">
        <v>87</v>
      </c>
      <c r="D10" s="46" t="s">
        <v>119</v>
      </c>
      <c r="E10" s="40"/>
      <c r="F10" s="40"/>
      <c r="G10" s="40"/>
      <c r="H10" s="40"/>
      <c r="I10" s="41"/>
      <c r="J10" s="39" t="s">
        <v>85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1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47" t="s">
        <v>4</v>
      </c>
      <c r="E13" s="44"/>
      <c r="F13" s="44"/>
      <c r="G13" s="44"/>
      <c r="H13" s="44"/>
      <c r="I13" s="45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43</v>
      </c>
      <c r="D14" s="47" t="s">
        <v>10</v>
      </c>
      <c r="E14" s="44"/>
      <c r="F14" s="44"/>
      <c r="G14" s="44"/>
      <c r="H14" s="44"/>
      <c r="I14" s="45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44</v>
      </c>
      <c r="D15" s="47" t="s">
        <v>20</v>
      </c>
      <c r="E15" s="44"/>
      <c r="F15" s="44"/>
      <c r="G15" s="44"/>
      <c r="H15" s="44"/>
      <c r="I15" s="45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45</v>
      </c>
      <c r="D16" s="47" t="s">
        <v>76</v>
      </c>
      <c r="E16" s="44"/>
      <c r="F16" s="44"/>
      <c r="G16" s="44"/>
      <c r="H16" s="44"/>
      <c r="I16" s="45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8" t="s">
        <v>27</v>
      </c>
      <c r="E17" s="44"/>
      <c r="F17" s="44"/>
      <c r="G17" s="44"/>
      <c r="H17" s="44"/>
      <c r="I17" s="45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73</v>
      </c>
      <c r="D18" s="48" t="s">
        <v>27</v>
      </c>
      <c r="E18" s="44"/>
      <c r="F18" s="44"/>
      <c r="G18" s="44"/>
      <c r="H18" s="44"/>
      <c r="I18" s="45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47" t="s">
        <v>25</v>
      </c>
      <c r="E19" s="44"/>
      <c r="F19" s="44"/>
      <c r="G19" s="44"/>
      <c r="H19" s="44"/>
      <c r="I19" s="45"/>
      <c r="J19" s="10" t="s">
        <v>33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74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46</v>
      </c>
      <c r="D23" s="22" t="s">
        <v>47</v>
      </c>
      <c r="E23" s="22" t="s">
        <v>48</v>
      </c>
      <c r="F23" s="22" t="s">
        <v>49</v>
      </c>
      <c r="G23" s="21" t="s">
        <v>50</v>
      </c>
      <c r="H23" s="21" t="s">
        <v>51</v>
      </c>
      <c r="I23" s="21" t="s">
        <v>110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29"/>
      <c r="C24" s="30"/>
      <c r="D24" s="31"/>
      <c r="E24" s="31"/>
      <c r="F24" s="31"/>
      <c r="G24" s="32"/>
      <c r="H24" s="30"/>
      <c r="I24" s="30"/>
      <c r="J24" s="33" t="str">
        <f>"fe_" &amp; F24 &amp; "#" &amp; TEXT(G24,"00000")</f>
        <v>fe_#00000</v>
      </c>
      <c r="K24" s="33" t="str">
        <f>"[COMMIT] " &amp; F24</f>
        <v xml:space="preserve">[COMMIT] </v>
      </c>
      <c r="L24" s="33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29"/>
      <c r="C25" s="30"/>
      <c r="D25" s="31"/>
      <c r="E25" s="31"/>
      <c r="F25" s="31"/>
      <c r="G25" s="32"/>
      <c r="H25" s="30"/>
      <c r="I25" s="30"/>
      <c r="J25" s="33" t="str">
        <f>"fe_" &amp; F25 &amp; "#" &amp; TEXT(G25,"00000")</f>
        <v>fe_#00000</v>
      </c>
      <c r="K25" s="33" t="str">
        <f>"[COMMIT] " &amp; F25</f>
        <v xml:space="preserve">[COMMIT] </v>
      </c>
      <c r="L25" s="33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29"/>
      <c r="C26" s="30"/>
      <c r="D26" s="31"/>
      <c r="E26" s="31"/>
      <c r="F26" s="31"/>
      <c r="G26" s="32"/>
      <c r="H26" s="30"/>
      <c r="I26" s="30"/>
      <c r="J26" s="33" t="str">
        <f t="shared" ref="J26" si="1">"fe_" &amp; F26 &amp; "#" &amp; TEXT(G26,"00000")</f>
        <v>fe_#00000</v>
      </c>
      <c r="K26" s="33" t="str">
        <f t="shared" ref="K26" si="2">"[COMMIT] " &amp; F26</f>
        <v xml:space="preserve">[COMMIT] </v>
      </c>
      <c r="L26" s="33" t="str">
        <f t="shared" ref="L26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29"/>
      <c r="C27" s="30"/>
      <c r="D27" s="31"/>
      <c r="E27" s="31"/>
      <c r="F27" s="31"/>
      <c r="G27" s="32"/>
      <c r="H27" s="30"/>
      <c r="I27" s="30"/>
      <c r="J27" s="33" t="str">
        <f t="shared" ref="J27" si="4">"fe_" &amp; F27 &amp; "#" &amp; TEXT(G27,"00000")</f>
        <v>fe_#00000</v>
      </c>
      <c r="K27" s="33" t="str">
        <f t="shared" ref="K27" si="5">"[COMMIT] " &amp; F27</f>
        <v xml:space="preserve">[COMMIT] </v>
      </c>
      <c r="L27" s="33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29"/>
      <c r="C28" s="30"/>
      <c r="D28" s="31"/>
      <c r="E28" s="31"/>
      <c r="F28" s="31"/>
      <c r="G28" s="32"/>
      <c r="H28" s="30"/>
      <c r="I28" s="30"/>
      <c r="J28" s="33" t="str">
        <f t="shared" ref="J28:J44" si="6">"fe_" &amp; F28 &amp; "#" &amp; TEXT(G28,"00000")</f>
        <v>fe_#00000</v>
      </c>
      <c r="K28" s="33" t="str">
        <f t="shared" ref="K28:K44" si="7">"[COMMIT] " &amp; F28</f>
        <v xml:space="preserve">[COMMIT] </v>
      </c>
      <c r="L28" s="33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29"/>
      <c r="C29" s="30"/>
      <c r="D29" s="31"/>
      <c r="E29" s="31"/>
      <c r="F29" s="31"/>
      <c r="G29" s="32"/>
      <c r="H29" s="30"/>
      <c r="I29" s="30"/>
      <c r="J29" s="33" t="str">
        <f t="shared" si="6"/>
        <v>fe_#00000</v>
      </c>
      <c r="K29" s="33" t="str">
        <f t="shared" si="7"/>
        <v xml:space="preserve">[COMMIT] </v>
      </c>
      <c r="L29" s="33" t="str">
        <f t="shared" si="8"/>
        <v>TAG-LO-PH-STEP-</v>
      </c>
    </row>
    <row r="30" spans="1:25" s="4" customFormat="1" ht="12.4" thickBot="1">
      <c r="A30" s="4">
        <f t="shared" si="0"/>
        <v>7</v>
      </c>
      <c r="B30" s="29"/>
      <c r="C30" s="30"/>
      <c r="D30" s="31"/>
      <c r="E30" s="31"/>
      <c r="F30" s="31"/>
      <c r="G30" s="32"/>
      <c r="H30" s="30"/>
      <c r="I30" s="30"/>
      <c r="J30" s="33" t="str">
        <f t="shared" si="6"/>
        <v>fe_#00000</v>
      </c>
      <c r="K30" s="33" t="str">
        <f t="shared" si="7"/>
        <v xml:space="preserve">[COMMIT] </v>
      </c>
      <c r="L30" s="33" t="str">
        <f t="shared" si="8"/>
        <v>TAG-LO-PH-STEP-</v>
      </c>
    </row>
    <row r="31" spans="1:25" s="4" customFormat="1" ht="12.4" thickBot="1">
      <c r="A31" s="4">
        <f t="shared" si="0"/>
        <v>8</v>
      </c>
      <c r="B31" s="29"/>
      <c r="C31" s="30"/>
      <c r="D31" s="31"/>
      <c r="E31" s="31"/>
      <c r="F31" s="31"/>
      <c r="G31" s="32"/>
      <c r="H31" s="30"/>
      <c r="I31" s="30"/>
      <c r="J31" s="33" t="str">
        <f t="shared" si="6"/>
        <v>fe_#00000</v>
      </c>
      <c r="K31" s="33" t="str">
        <f t="shared" si="7"/>
        <v xml:space="preserve">[COMMIT] </v>
      </c>
      <c r="L31" s="33" t="str">
        <f t="shared" si="8"/>
        <v>TAG-LO-PH-STEP-</v>
      </c>
    </row>
    <row r="32" spans="1:25" s="4" customFormat="1" ht="12.4" thickBot="1">
      <c r="A32" s="4">
        <f t="shared" si="0"/>
        <v>9</v>
      </c>
      <c r="B32" s="29"/>
      <c r="C32" s="30"/>
      <c r="D32" s="31"/>
      <c r="E32" s="31"/>
      <c r="F32" s="31"/>
      <c r="G32" s="32"/>
      <c r="H32" s="30"/>
      <c r="I32" s="30"/>
      <c r="J32" s="33" t="str">
        <f t="shared" si="6"/>
        <v>fe_#00000</v>
      </c>
      <c r="K32" s="33" t="str">
        <f t="shared" si="7"/>
        <v xml:space="preserve">[COMMIT] </v>
      </c>
      <c r="L32" s="33" t="str">
        <f t="shared" si="8"/>
        <v>TAG-LO-PH-STEP-</v>
      </c>
    </row>
    <row r="33" spans="1:12" s="4" customFormat="1" ht="12.4" thickBot="1">
      <c r="A33" s="4">
        <f t="shared" si="0"/>
        <v>10</v>
      </c>
      <c r="B33" s="29"/>
      <c r="C33" s="30"/>
      <c r="D33" s="31"/>
      <c r="E33" s="31"/>
      <c r="F33" s="31"/>
      <c r="G33" s="32"/>
      <c r="H33" s="30"/>
      <c r="I33" s="30"/>
      <c r="J33" s="33" t="str">
        <f t="shared" si="6"/>
        <v>fe_#00000</v>
      </c>
      <c r="K33" s="33" t="str">
        <f t="shared" si="7"/>
        <v xml:space="preserve">[COMMIT] </v>
      </c>
      <c r="L33" s="33" t="str">
        <f t="shared" si="8"/>
        <v>TAG-LO-PH-STEP-</v>
      </c>
    </row>
    <row r="34" spans="1:12" s="4" customFormat="1" ht="12.4" thickBot="1">
      <c r="A34" s="4">
        <f t="shared" si="0"/>
        <v>11</v>
      </c>
      <c r="B34" s="29"/>
      <c r="C34" s="30"/>
      <c r="D34" s="31"/>
      <c r="E34" s="31"/>
      <c r="F34" s="31"/>
      <c r="G34" s="32"/>
      <c r="H34" s="30"/>
      <c r="I34" s="30"/>
      <c r="J34" s="33" t="str">
        <f t="shared" si="6"/>
        <v>fe_#00000</v>
      </c>
      <c r="K34" s="33" t="str">
        <f t="shared" si="7"/>
        <v xml:space="preserve">[COMMIT] </v>
      </c>
      <c r="L34" s="33" t="str">
        <f t="shared" si="8"/>
        <v>TAG-LO-PH-STEP-</v>
      </c>
    </row>
    <row r="35" spans="1:12" s="4" customFormat="1" ht="12.4" thickBot="1">
      <c r="A35" s="4">
        <f t="shared" si="0"/>
        <v>12</v>
      </c>
      <c r="B35" s="29"/>
      <c r="C35" s="30"/>
      <c r="D35" s="31"/>
      <c r="E35" s="31"/>
      <c r="F35" s="31"/>
      <c r="G35" s="32"/>
      <c r="H35" s="30"/>
      <c r="I35" s="30"/>
      <c r="J35" s="33" t="str">
        <f t="shared" si="6"/>
        <v>fe_#00000</v>
      </c>
      <c r="K35" s="33" t="str">
        <f t="shared" si="7"/>
        <v xml:space="preserve">[COMMIT] </v>
      </c>
      <c r="L35" s="33" t="str">
        <f t="shared" si="8"/>
        <v>TAG-LO-PH-STEP-</v>
      </c>
    </row>
    <row r="36" spans="1:12" s="4" customFormat="1" ht="12.4" thickBot="1">
      <c r="A36" s="4">
        <f t="shared" si="0"/>
        <v>13</v>
      </c>
      <c r="B36" s="29"/>
      <c r="C36" s="30"/>
      <c r="D36" s="31"/>
      <c r="E36" s="31"/>
      <c r="F36" s="31"/>
      <c r="G36" s="32"/>
      <c r="H36" s="30"/>
      <c r="I36" s="30"/>
      <c r="J36" s="33" t="str">
        <f t="shared" si="6"/>
        <v>fe_#00000</v>
      </c>
      <c r="K36" s="33" t="str">
        <f t="shared" si="7"/>
        <v xml:space="preserve">[COMMIT] </v>
      </c>
      <c r="L36" s="33" t="str">
        <f t="shared" si="8"/>
        <v>TAG-LO-PH-STEP-</v>
      </c>
    </row>
    <row r="37" spans="1:12" s="4" customFormat="1" ht="12.4" thickBot="1">
      <c r="A37" s="4">
        <f t="shared" si="0"/>
        <v>14</v>
      </c>
      <c r="B37" s="29"/>
      <c r="C37" s="30"/>
      <c r="D37" s="31"/>
      <c r="E37" s="31"/>
      <c r="F37" s="31"/>
      <c r="G37" s="32"/>
      <c r="H37" s="30"/>
      <c r="I37" s="30"/>
      <c r="J37" s="33" t="str">
        <f t="shared" si="6"/>
        <v>fe_#00000</v>
      </c>
      <c r="K37" s="33" t="str">
        <f t="shared" si="7"/>
        <v xml:space="preserve">[COMMIT] </v>
      </c>
      <c r="L37" s="33" t="str">
        <f t="shared" si="8"/>
        <v>TAG-LO-PH-STEP-</v>
      </c>
    </row>
    <row r="38" spans="1:12" s="4" customFormat="1" ht="12.4" thickBot="1">
      <c r="A38" s="4">
        <f t="shared" si="0"/>
        <v>15</v>
      </c>
      <c r="B38" s="29"/>
      <c r="C38" s="30"/>
      <c r="D38" s="31"/>
      <c r="E38" s="31"/>
      <c r="F38" s="31"/>
      <c r="G38" s="32"/>
      <c r="H38" s="30"/>
      <c r="I38" s="30"/>
      <c r="J38" s="33" t="str">
        <f t="shared" si="6"/>
        <v>fe_#00000</v>
      </c>
      <c r="K38" s="33" t="str">
        <f t="shared" si="7"/>
        <v xml:space="preserve">[COMMIT] </v>
      </c>
      <c r="L38" s="33" t="str">
        <f t="shared" si="8"/>
        <v>TAG-LO-PH-STEP-</v>
      </c>
    </row>
    <row r="39" spans="1:12" s="4" customFormat="1" ht="12.4" thickBot="1">
      <c r="A39" s="4">
        <f t="shared" si="0"/>
        <v>16</v>
      </c>
      <c r="B39" s="29"/>
      <c r="C39" s="30"/>
      <c r="D39" s="31"/>
      <c r="E39" s="31"/>
      <c r="F39" s="31"/>
      <c r="G39" s="32"/>
      <c r="H39" s="30"/>
      <c r="I39" s="30"/>
      <c r="J39" s="33" t="str">
        <f t="shared" si="6"/>
        <v>fe_#00000</v>
      </c>
      <c r="K39" s="33" t="str">
        <f t="shared" si="7"/>
        <v xml:space="preserve">[COMMIT] </v>
      </c>
      <c r="L39" s="33" t="str">
        <f t="shared" si="8"/>
        <v>TAG-LO-PH-STEP-</v>
      </c>
    </row>
    <row r="40" spans="1:12" s="4" customFormat="1" ht="12.4" thickBot="1">
      <c r="A40" s="4">
        <f t="shared" si="0"/>
        <v>17</v>
      </c>
      <c r="B40" s="29"/>
      <c r="C40" s="30"/>
      <c r="D40" s="31"/>
      <c r="E40" s="31"/>
      <c r="F40" s="31"/>
      <c r="G40" s="32"/>
      <c r="H40" s="30"/>
      <c r="I40" s="30"/>
      <c r="J40" s="33" t="str">
        <f t="shared" si="6"/>
        <v>fe_#00000</v>
      </c>
      <c r="K40" s="33" t="str">
        <f t="shared" si="7"/>
        <v xml:space="preserve">[COMMIT] </v>
      </c>
      <c r="L40" s="33" t="str">
        <f t="shared" si="8"/>
        <v>TAG-LO-PH-STEP-</v>
      </c>
    </row>
    <row r="41" spans="1:12" s="4" customFormat="1" ht="12.4" thickBot="1">
      <c r="A41" s="4">
        <f t="shared" si="0"/>
        <v>18</v>
      </c>
      <c r="B41" s="29"/>
      <c r="C41" s="30"/>
      <c r="D41" s="31"/>
      <c r="E41" s="31"/>
      <c r="F41" s="31"/>
      <c r="G41" s="32"/>
      <c r="H41" s="30"/>
      <c r="I41" s="30"/>
      <c r="J41" s="33" t="str">
        <f t="shared" si="6"/>
        <v>fe_#00000</v>
      </c>
      <c r="K41" s="33" t="str">
        <f t="shared" si="7"/>
        <v xml:space="preserve">[COMMIT] </v>
      </c>
      <c r="L41" s="33" t="str">
        <f t="shared" si="8"/>
        <v>TAG-LO-PH-STEP-</v>
      </c>
    </row>
    <row r="42" spans="1:12" s="4" customFormat="1" ht="12.4" thickBot="1">
      <c r="A42" s="4">
        <f t="shared" si="0"/>
        <v>19</v>
      </c>
      <c r="B42" s="29"/>
      <c r="C42" s="30"/>
      <c r="D42" s="31"/>
      <c r="E42" s="31"/>
      <c r="F42" s="31"/>
      <c r="G42" s="32"/>
      <c r="H42" s="30"/>
      <c r="I42" s="30"/>
      <c r="J42" s="33" t="str">
        <f t="shared" si="6"/>
        <v>fe_#00000</v>
      </c>
      <c r="K42" s="33" t="str">
        <f t="shared" si="7"/>
        <v xml:space="preserve">[COMMIT] </v>
      </c>
      <c r="L42" s="33" t="str">
        <f t="shared" si="8"/>
        <v>TAG-LO-PH-STEP-</v>
      </c>
    </row>
    <row r="43" spans="1:12" s="4" customFormat="1" ht="12.4" thickBot="1">
      <c r="A43" s="4">
        <f t="shared" si="0"/>
        <v>20</v>
      </c>
      <c r="B43" s="29"/>
      <c r="C43" s="30"/>
      <c r="D43" s="31"/>
      <c r="E43" s="31"/>
      <c r="F43" s="31"/>
      <c r="G43" s="32"/>
      <c r="H43" s="30"/>
      <c r="I43" s="30"/>
      <c r="J43" s="33" t="str">
        <f t="shared" si="6"/>
        <v>fe_#00000</v>
      </c>
      <c r="K43" s="33" t="str">
        <f t="shared" si="7"/>
        <v xml:space="preserve">[COMMIT] </v>
      </c>
      <c r="L43" s="33" t="str">
        <f t="shared" si="8"/>
        <v>TAG-LO-PH-STEP-</v>
      </c>
    </row>
    <row r="44" spans="1:12" s="4" customFormat="1" ht="12.4" thickBot="1">
      <c r="A44" s="4">
        <f t="shared" si="0"/>
        <v>21</v>
      </c>
      <c r="B44" s="29"/>
      <c r="C44" s="30"/>
      <c r="D44" s="31"/>
      <c r="E44" s="31"/>
      <c r="F44" s="31"/>
      <c r="G44" s="32"/>
      <c r="H44" s="30"/>
      <c r="I44" s="30"/>
      <c r="J44" s="33" t="str">
        <f t="shared" si="6"/>
        <v>fe_#00000</v>
      </c>
      <c r="K44" s="33" t="str">
        <f t="shared" si="7"/>
        <v xml:space="preserve">[COMMIT] </v>
      </c>
      <c r="L44" s="33" t="str">
        <f t="shared" si="8"/>
        <v>TAG-LO-PH-STEP-</v>
      </c>
    </row>
  </sheetData>
  <mergeCells count="15"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  <mergeCell ref="J10:Y10"/>
    <mergeCell ref="J9:Y9"/>
    <mergeCell ref="D9:I9"/>
    <mergeCell ref="D10:I10"/>
    <mergeCell ref="D13:I13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7"/>
  <sheetViews>
    <sheetView showGridLines="0" zoomScaleNormal="100" workbookViewId="0">
      <selection activeCell="Y7" sqref="Y7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57</v>
      </c>
    </row>
    <row r="3" spans="1:25" ht="22.9" customHeight="1" thickBot="1">
      <c r="B3" s="5"/>
      <c r="C3" s="5"/>
      <c r="D3" s="19" t="s">
        <v>52</v>
      </c>
      <c r="E3" s="19" t="s">
        <v>53</v>
      </c>
      <c r="F3" s="19" t="s">
        <v>54</v>
      </c>
      <c r="G3" s="19" t="s">
        <v>55</v>
      </c>
      <c r="H3" s="19" t="s">
        <v>56</v>
      </c>
      <c r="I3" s="20" t="s">
        <v>58</v>
      </c>
      <c r="J3" s="20" t="s">
        <v>59</v>
      </c>
      <c r="K3" s="20" t="s">
        <v>60</v>
      </c>
      <c r="L3" s="20" t="s">
        <v>61</v>
      </c>
      <c r="M3" s="20" t="s">
        <v>62</v>
      </c>
      <c r="N3" s="20" t="s">
        <v>63</v>
      </c>
      <c r="O3" s="20" t="s">
        <v>64</v>
      </c>
      <c r="P3" s="21" t="s">
        <v>65</v>
      </c>
      <c r="Q3" s="21" t="s">
        <v>66</v>
      </c>
      <c r="R3" s="22" t="s">
        <v>67</v>
      </c>
      <c r="S3" s="22" t="s">
        <v>68</v>
      </c>
      <c r="T3" s="22" t="s">
        <v>69</v>
      </c>
      <c r="U3" s="21" t="s">
        <v>70</v>
      </c>
      <c r="V3" s="21" t="s">
        <v>71</v>
      </c>
      <c r="W3" s="21" t="s">
        <v>112</v>
      </c>
    </row>
    <row r="5" spans="1:25" ht="88.15" customHeight="1" thickBot="1">
      <c r="I5" s="20" t="s">
        <v>58</v>
      </c>
      <c r="J5" s="20" t="s">
        <v>59</v>
      </c>
      <c r="L5" s="20" t="s">
        <v>61</v>
      </c>
      <c r="M5" s="20" t="s">
        <v>62</v>
      </c>
      <c r="P5" s="21" t="s">
        <v>65</v>
      </c>
      <c r="R5" s="7"/>
      <c r="S5" s="7"/>
      <c r="T5" s="22" t="s">
        <v>69</v>
      </c>
      <c r="U5" s="21" t="s">
        <v>70</v>
      </c>
    </row>
    <row r="6" spans="1:25" ht="10.15" customHeight="1">
      <c r="W6" s="23"/>
      <c r="X6" s="23"/>
    </row>
    <row r="7" spans="1:25" ht="78" customHeight="1" thickBot="1">
      <c r="I7" s="20" t="s">
        <v>58</v>
      </c>
      <c r="J7" s="20" t="s">
        <v>59</v>
      </c>
      <c r="L7" s="20" t="s">
        <v>61</v>
      </c>
      <c r="M7" s="20" t="s">
        <v>62</v>
      </c>
      <c r="P7" s="21" t="s">
        <v>65</v>
      </c>
      <c r="R7" s="22" t="s">
        <v>67</v>
      </c>
      <c r="S7" s="22" t="s">
        <v>68</v>
      </c>
      <c r="T7" s="22" t="s">
        <v>69</v>
      </c>
      <c r="V7" s="21" t="s">
        <v>71</v>
      </c>
      <c r="Y7" s="7" t="s">
        <v>127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8" customWidth="1"/>
    <col min="2" max="2" width="9" style="28"/>
    <col min="3" max="3" width="20.5" style="28" customWidth="1"/>
    <col min="4" max="16384" width="9" style="28"/>
  </cols>
  <sheetData>
    <row r="1" spans="1:10" ht="18.75">
      <c r="A1" s="37" t="s">
        <v>89</v>
      </c>
    </row>
    <row r="2" spans="1:10">
      <c r="A2" s="26" t="s">
        <v>37</v>
      </c>
      <c r="B2" s="26" t="s">
        <v>92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8" t="s">
        <v>90</v>
      </c>
    </row>
    <row r="5" spans="1:10" ht="18.75" customHeight="1" thickBot="1">
      <c r="B5" s="4"/>
      <c r="C5" s="13" t="s">
        <v>42</v>
      </c>
      <c r="D5" s="42" t="s">
        <v>36</v>
      </c>
      <c r="E5" s="43"/>
      <c r="F5" s="43"/>
      <c r="G5" s="43"/>
      <c r="H5" s="44"/>
      <c r="I5" s="45"/>
      <c r="J5" s="28" t="s">
        <v>91</v>
      </c>
    </row>
    <row r="6" spans="1:10" ht="22.5" customHeight="1" thickBot="1">
      <c r="B6" s="4"/>
      <c r="C6" s="13" t="s">
        <v>41</v>
      </c>
      <c r="D6" s="42" t="s">
        <v>9</v>
      </c>
      <c r="E6" s="43"/>
      <c r="F6" s="43"/>
      <c r="G6" s="43"/>
      <c r="H6" s="44"/>
      <c r="I6" s="45"/>
      <c r="J6" s="28" t="s">
        <v>91</v>
      </c>
    </row>
    <row r="7" spans="1:10" ht="12.4" customHeight="1" thickBot="1">
      <c r="B7" s="4"/>
      <c r="C7" s="13" t="s">
        <v>34</v>
      </c>
      <c r="D7" s="42"/>
      <c r="E7" s="43"/>
      <c r="F7" s="43"/>
      <c r="G7" s="43"/>
      <c r="H7" s="44"/>
      <c r="I7" s="45"/>
      <c r="J7" s="28" t="s">
        <v>91</v>
      </c>
    </row>
    <row r="8" spans="1:10" ht="18" thickBot="1">
      <c r="B8" s="4"/>
      <c r="C8" s="13" t="s">
        <v>0</v>
      </c>
      <c r="D8" s="42" t="s">
        <v>82</v>
      </c>
      <c r="E8" s="44"/>
      <c r="F8" s="44"/>
      <c r="G8" s="44"/>
      <c r="H8" s="44"/>
      <c r="I8" s="45"/>
      <c r="J8" s="28" t="s">
        <v>91</v>
      </c>
    </row>
    <row r="9" spans="1:10" ht="24.4" customHeight="1" thickBot="1">
      <c r="B9" s="4"/>
      <c r="C9" s="13" t="s">
        <v>86</v>
      </c>
      <c r="D9" s="42" t="s">
        <v>83</v>
      </c>
      <c r="E9" s="43"/>
      <c r="F9" s="43"/>
      <c r="G9" s="43"/>
      <c r="H9" s="44"/>
      <c r="I9" s="45"/>
      <c r="J9" s="28" t="s">
        <v>91</v>
      </c>
    </row>
    <row r="10" spans="1:10" ht="15.4" customHeight="1" thickBot="1">
      <c r="B10" s="4"/>
      <c r="C10" s="13" t="s">
        <v>87</v>
      </c>
      <c r="D10" s="46" t="s">
        <v>119</v>
      </c>
      <c r="E10" s="40"/>
      <c r="F10" s="40"/>
      <c r="G10" s="40"/>
      <c r="H10" s="40"/>
      <c r="I10" s="41"/>
      <c r="J10" s="28" t="s">
        <v>91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47" t="s">
        <v>4</v>
      </c>
      <c r="E13" s="44"/>
      <c r="F13" s="44"/>
      <c r="G13" s="44"/>
      <c r="H13" s="44"/>
      <c r="I13" s="45"/>
      <c r="J13" s="28" t="s">
        <v>91</v>
      </c>
    </row>
    <row r="14" spans="1:10" ht="15.4" customHeight="1" thickBot="1">
      <c r="B14" s="4"/>
      <c r="C14" s="18" t="s">
        <v>43</v>
      </c>
      <c r="D14" s="47" t="s">
        <v>10</v>
      </c>
      <c r="E14" s="44"/>
      <c r="F14" s="44"/>
      <c r="G14" s="44"/>
      <c r="H14" s="44"/>
      <c r="I14" s="45"/>
      <c r="J14" s="28" t="s">
        <v>91</v>
      </c>
    </row>
    <row r="15" spans="1:10" ht="18" thickBot="1">
      <c r="B15" s="4"/>
      <c r="C15" s="18" t="s">
        <v>44</v>
      </c>
      <c r="D15" s="47" t="s">
        <v>20</v>
      </c>
      <c r="E15" s="44"/>
      <c r="F15" s="44"/>
      <c r="G15" s="44"/>
      <c r="H15" s="44"/>
      <c r="I15" s="45"/>
      <c r="J15" s="28" t="s">
        <v>91</v>
      </c>
    </row>
    <row r="16" spans="1:10" ht="18" thickBot="1">
      <c r="B16" s="4"/>
      <c r="C16" s="18" t="s">
        <v>45</v>
      </c>
      <c r="D16" s="47" t="s">
        <v>76</v>
      </c>
      <c r="E16" s="44"/>
      <c r="F16" s="44"/>
      <c r="G16" s="44"/>
      <c r="H16" s="44"/>
      <c r="I16" s="45"/>
      <c r="J16" s="28" t="s">
        <v>91</v>
      </c>
    </row>
    <row r="17" spans="1:13" ht="18" thickBot="1">
      <c r="B17" s="4"/>
      <c r="C17" s="18" t="s">
        <v>19</v>
      </c>
      <c r="D17" s="48" t="s">
        <v>25</v>
      </c>
      <c r="E17" s="44"/>
      <c r="F17" s="44"/>
      <c r="G17" s="44"/>
      <c r="H17" s="44"/>
      <c r="I17" s="45"/>
      <c r="J17" s="28" t="s">
        <v>91</v>
      </c>
    </row>
    <row r="18" spans="1:13" ht="18" thickBot="1">
      <c r="B18" s="4"/>
      <c r="C18" s="18" t="s">
        <v>73</v>
      </c>
      <c r="D18" s="48" t="s">
        <v>25</v>
      </c>
      <c r="E18" s="44"/>
      <c r="F18" s="44"/>
      <c r="G18" s="44"/>
      <c r="H18" s="44"/>
      <c r="I18" s="45"/>
      <c r="J18" s="28" t="s">
        <v>91</v>
      </c>
    </row>
    <row r="19" spans="1:13" ht="18" thickBot="1">
      <c r="B19" s="4"/>
      <c r="C19" s="18" t="s">
        <v>31</v>
      </c>
      <c r="D19" s="47" t="s">
        <v>25</v>
      </c>
      <c r="E19" s="44"/>
      <c r="F19" s="44"/>
      <c r="G19" s="44"/>
      <c r="H19" s="44"/>
      <c r="I19" s="45"/>
      <c r="J19" s="28" t="s">
        <v>91</v>
      </c>
    </row>
    <row r="22" spans="1:13">
      <c r="A22" s="27" t="s">
        <v>93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46</v>
      </c>
      <c r="D24" s="22" t="s">
        <v>47</v>
      </c>
      <c r="E24" s="22" t="s">
        <v>48</v>
      </c>
      <c r="F24" s="22" t="s">
        <v>49</v>
      </c>
      <c r="G24" s="21" t="s">
        <v>50</v>
      </c>
      <c r="H24" s="21" t="s">
        <v>51</v>
      </c>
      <c r="I24" s="21" t="s">
        <v>110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9" t="s">
        <v>75</v>
      </c>
      <c r="C25" s="30" t="s">
        <v>26</v>
      </c>
      <c r="D25" s="31"/>
      <c r="E25" s="31"/>
      <c r="F25" s="31"/>
      <c r="G25" s="32"/>
      <c r="H25" s="30"/>
      <c r="I25" s="30"/>
      <c r="J25" s="33" t="str">
        <f t="shared" ref="J25:J26" si="0">"fe_" &amp; F25 &amp; "#" &amp; TEXT(G25,"00000")</f>
        <v>fe_#00000</v>
      </c>
      <c r="K25" s="33" t="str">
        <f t="shared" ref="K25:K26" si="1">"[COMMIT] " &amp; F25</f>
        <v xml:space="preserve">[COMMIT] </v>
      </c>
      <c r="L25" s="33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9" t="s">
        <v>75</v>
      </c>
      <c r="C26" s="30" t="s">
        <v>88</v>
      </c>
      <c r="D26" s="31"/>
      <c r="E26" s="31"/>
      <c r="F26" s="31"/>
      <c r="G26" s="32"/>
      <c r="H26" s="30"/>
      <c r="I26" s="30"/>
      <c r="J26" s="33" t="str">
        <f t="shared" si="0"/>
        <v>fe_#00000</v>
      </c>
      <c r="K26" s="33" t="str">
        <f t="shared" si="1"/>
        <v xml:space="preserve">[COMMIT] </v>
      </c>
      <c r="L26" s="33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9" t="s">
        <v>75</v>
      </c>
      <c r="C27" s="30" t="s">
        <v>101</v>
      </c>
      <c r="D27" s="31"/>
      <c r="E27" s="31"/>
      <c r="F27" s="31"/>
      <c r="G27" s="32"/>
      <c r="H27" s="30"/>
      <c r="I27" s="30"/>
      <c r="J27" s="33" t="str">
        <f t="shared" ref="J27" si="3">"fe_" &amp; F27 &amp; "#" &amp; TEXT(G27,"00000")</f>
        <v>fe_#00000</v>
      </c>
      <c r="K27" s="33" t="str">
        <f t="shared" ref="K27" si="4">"[COMMIT] " &amp; F27</f>
        <v xml:space="preserve">[COMMIT] </v>
      </c>
      <c r="L27" s="33" t="str">
        <f t="shared" ref="L27" si="5">"TAG-" &amp; "LO" &amp; D27 &amp; "-PH" &amp; E27 &amp; "-STEP" &amp; H27 &amp; "-" &amp;  F27</f>
        <v>TAG-LO-PH-STEP-</v>
      </c>
      <c r="M27" s="4"/>
    </row>
    <row r="30" spans="1:13">
      <c r="A30" s="35" t="s">
        <v>98</v>
      </c>
    </row>
    <row r="32" spans="1:13">
      <c r="A32" s="27" t="s">
        <v>94</v>
      </c>
    </row>
    <row r="33" spans="1:13" ht="15.4" thickBot="1">
      <c r="A33" s="27" t="s">
        <v>95</v>
      </c>
    </row>
    <row r="34" spans="1:13" ht="24.75" customHeight="1" thickBot="1">
      <c r="B34" s="29" t="s">
        <v>75</v>
      </c>
      <c r="C34" s="30"/>
      <c r="D34" s="31" t="s">
        <v>8</v>
      </c>
      <c r="E34" s="31" t="s">
        <v>8</v>
      </c>
      <c r="F34" s="31" t="s">
        <v>3</v>
      </c>
      <c r="G34" s="32">
        <v>1</v>
      </c>
      <c r="H34" s="30" t="s">
        <v>96</v>
      </c>
      <c r="I34" s="30"/>
      <c r="J34" s="33" t="str">
        <f t="shared" ref="J34:J35" si="6">"fe_" &amp; F34 &amp; "#" &amp; TEXT(G34,"00000")</f>
        <v>fe_PID_1#00001</v>
      </c>
      <c r="K34" s="33" t="str">
        <f t="shared" ref="K34:K35" si="7">"[COMMIT] " &amp; F34</f>
        <v>[COMMIT] PID_1</v>
      </c>
      <c r="L34" s="33" t="str">
        <f t="shared" ref="L34:L40" si="8">"TAG-" &amp; "LO" &amp; D34 &amp; "-PH" &amp; E34 &amp; "-STEP" &amp; H34 &amp; "-" &amp;  F34</f>
        <v>TAG-LO1-PH1-STEP1.1-PID_1</v>
      </c>
      <c r="M34" s="4" t="s">
        <v>99</v>
      </c>
    </row>
    <row r="35" spans="1:13" ht="24.75" customHeight="1" thickBot="1">
      <c r="B35" s="29" t="s">
        <v>75</v>
      </c>
      <c r="C35" s="30"/>
      <c r="D35" s="31" t="s">
        <v>8</v>
      </c>
      <c r="E35" s="31" t="s">
        <v>8</v>
      </c>
      <c r="F35" s="31" t="s">
        <v>97</v>
      </c>
      <c r="G35" s="32">
        <v>2</v>
      </c>
      <c r="H35" s="30" t="s">
        <v>96</v>
      </c>
      <c r="I35" s="30"/>
      <c r="J35" s="33" t="str">
        <f t="shared" si="6"/>
        <v>fe_PID_2#00002</v>
      </c>
      <c r="K35" s="33" t="str">
        <f t="shared" si="7"/>
        <v>[COMMIT] PID_2</v>
      </c>
      <c r="L35" s="33" t="str">
        <f t="shared" si="8"/>
        <v>TAG-LO1-PH1-STEP1.1-PID_2</v>
      </c>
      <c r="M35" s="4" t="s">
        <v>99</v>
      </c>
    </row>
    <row r="36" spans="1:13" ht="24.75" customHeight="1" thickBot="1">
      <c r="B36" s="29" t="s">
        <v>75</v>
      </c>
      <c r="C36" s="30"/>
      <c r="D36" s="31" t="s">
        <v>8</v>
      </c>
      <c r="E36" s="31" t="s">
        <v>8</v>
      </c>
      <c r="F36" s="31" t="s">
        <v>102</v>
      </c>
      <c r="G36" s="32">
        <v>3</v>
      </c>
      <c r="H36" s="30" t="s">
        <v>96</v>
      </c>
      <c r="I36" s="30"/>
      <c r="J36" s="33" t="str">
        <f t="shared" ref="J36:J38" si="9">"fe_" &amp; F36 &amp; "#" &amp; TEXT(G36,"00000")</f>
        <v>fe_PID_3#00003</v>
      </c>
      <c r="K36" s="33" t="str">
        <f t="shared" ref="K36:K38" si="10">"[COMMIT] " &amp; F36</f>
        <v>[COMMIT] PID_3</v>
      </c>
      <c r="L36" s="33" t="str">
        <f t="shared" si="8"/>
        <v>TAG-LO1-PH1-STEP1.1-PID_3</v>
      </c>
      <c r="M36" s="4" t="s">
        <v>99</v>
      </c>
    </row>
    <row r="37" spans="1:13" ht="24.75" customHeight="1" thickBot="1">
      <c r="B37" s="29" t="s">
        <v>75</v>
      </c>
      <c r="C37" s="30"/>
      <c r="D37" s="31" t="s">
        <v>8</v>
      </c>
      <c r="E37" s="31" t="s">
        <v>8</v>
      </c>
      <c r="F37" s="31" t="s">
        <v>3</v>
      </c>
      <c r="G37" s="32">
        <v>1</v>
      </c>
      <c r="H37" s="30" t="s">
        <v>77</v>
      </c>
      <c r="I37" s="30"/>
      <c r="J37" s="33" t="str">
        <f t="shared" si="9"/>
        <v>fe_PID_1#00001</v>
      </c>
      <c r="K37" s="33" t="str">
        <f t="shared" si="10"/>
        <v>[COMMIT] PID_1</v>
      </c>
      <c r="L37" s="33" t="str">
        <f t="shared" si="8"/>
        <v>TAG-LO1-PH1-STEP1.5-PID_1</v>
      </c>
      <c r="M37" s="4" t="s">
        <v>99</v>
      </c>
    </row>
    <row r="38" spans="1:13" ht="24.75" customHeight="1" thickBot="1">
      <c r="B38" s="29" t="s">
        <v>75</v>
      </c>
      <c r="C38" s="30"/>
      <c r="D38" s="31" t="s">
        <v>8</v>
      </c>
      <c r="E38" s="31" t="s">
        <v>8</v>
      </c>
      <c r="F38" s="31" t="s">
        <v>97</v>
      </c>
      <c r="G38" s="32">
        <v>2</v>
      </c>
      <c r="H38" s="30" t="s">
        <v>77</v>
      </c>
      <c r="I38" s="30"/>
      <c r="J38" s="33" t="str">
        <f t="shared" si="9"/>
        <v>fe_PID_2#00002</v>
      </c>
      <c r="K38" s="33" t="str">
        <f t="shared" si="10"/>
        <v>[COMMIT] PID_2</v>
      </c>
      <c r="L38" s="33" t="str">
        <f t="shared" si="8"/>
        <v>TAG-LO1-PH1-STEP1.5-PID_2</v>
      </c>
      <c r="M38" s="4" t="s">
        <v>99</v>
      </c>
    </row>
    <row r="39" spans="1:13" ht="24.75" customHeight="1" thickBot="1">
      <c r="B39" s="29" t="s">
        <v>75</v>
      </c>
      <c r="C39" s="30"/>
      <c r="D39" s="31" t="s">
        <v>8</v>
      </c>
      <c r="E39" s="31" t="s">
        <v>8</v>
      </c>
      <c r="F39" s="31" t="s">
        <v>102</v>
      </c>
      <c r="G39" s="32">
        <v>3</v>
      </c>
      <c r="H39" s="30" t="s">
        <v>77</v>
      </c>
      <c r="I39" s="30"/>
      <c r="J39" s="33" t="str">
        <f t="shared" ref="J39:J40" si="11">"fe_" &amp; F39 &amp; "#" &amp; TEXT(G39,"00000")</f>
        <v>fe_PID_3#00003</v>
      </c>
      <c r="K39" s="33" t="str">
        <f t="shared" ref="K39:K40" si="12">"[COMMIT] " &amp; F39</f>
        <v>[COMMIT] PID_3</v>
      </c>
      <c r="L39" s="33" t="str">
        <f t="shared" si="8"/>
        <v>TAG-LO1-PH1-STEP1.5-PID_3</v>
      </c>
      <c r="M39" s="4" t="s">
        <v>99</v>
      </c>
    </row>
    <row r="40" spans="1:13" ht="24.75" customHeight="1" thickBot="1">
      <c r="B40" s="29" t="s">
        <v>75</v>
      </c>
      <c r="C40" s="30"/>
      <c r="D40" s="31" t="s">
        <v>8</v>
      </c>
      <c r="E40" s="31" t="s">
        <v>8</v>
      </c>
      <c r="F40" s="31" t="s">
        <v>97</v>
      </c>
      <c r="G40" s="32">
        <v>2</v>
      </c>
      <c r="H40" s="30" t="s">
        <v>78</v>
      </c>
      <c r="I40" s="30"/>
      <c r="J40" s="33" t="str">
        <f t="shared" si="11"/>
        <v>fe_PID_2#00002</v>
      </c>
      <c r="K40" s="33" t="str">
        <f t="shared" si="12"/>
        <v>[COMMIT] PID_2</v>
      </c>
      <c r="L40" s="33" t="str">
        <f t="shared" si="8"/>
        <v>TAG-LO1-PH1-STEP1.6-PID_2</v>
      </c>
      <c r="M40" s="4" t="s">
        <v>99</v>
      </c>
    </row>
    <row r="43" spans="1:13" ht="15.4" thickBot="1">
      <c r="A43" s="27" t="s">
        <v>100</v>
      </c>
    </row>
    <row r="44" spans="1:13" ht="21.4" customHeight="1" thickBot="1">
      <c r="B44" s="29" t="s">
        <v>75</v>
      </c>
      <c r="C44" s="30" t="s">
        <v>26</v>
      </c>
      <c r="D44" s="31" t="s">
        <v>8</v>
      </c>
      <c r="E44" s="31" t="s">
        <v>8</v>
      </c>
      <c r="F44" s="31" t="s">
        <v>3</v>
      </c>
      <c r="G44" s="32">
        <v>1</v>
      </c>
      <c r="H44" s="30">
        <v>1.1000000000000001</v>
      </c>
      <c r="I44" s="30" t="s">
        <v>111</v>
      </c>
      <c r="J44" s="33" t="str">
        <f>"fe_" &amp; F44 &amp; "#" &amp; TEXT(G44,"00000")</f>
        <v>fe_PID_1#00001</v>
      </c>
      <c r="K44" s="33" t="str">
        <f>"[COMMIT] " &amp; F44</f>
        <v>[COMMIT] PID_1</v>
      </c>
      <c r="L44" s="33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9" t="s">
        <v>75</v>
      </c>
      <c r="C45" s="30" t="s">
        <v>88</v>
      </c>
      <c r="D45" s="31" t="s">
        <v>8</v>
      </c>
      <c r="E45" s="31" t="s">
        <v>8</v>
      </c>
      <c r="F45" s="31" t="s">
        <v>97</v>
      </c>
      <c r="G45" s="32">
        <v>2</v>
      </c>
      <c r="H45" s="30">
        <v>1.1000000000000001</v>
      </c>
      <c r="I45" s="30" t="s">
        <v>111</v>
      </c>
      <c r="J45" s="33" t="str">
        <f>"fe_" &amp; F45 &amp; "#" &amp; TEXT(G45,"00000")</f>
        <v>fe_PID_2#00002</v>
      </c>
      <c r="K45" s="33" t="str">
        <f>"[COMMIT] " &amp; F45</f>
        <v>[COMMIT] PID_2</v>
      </c>
      <c r="L45" s="33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9" t="s">
        <v>75</v>
      </c>
      <c r="C46" s="30" t="s">
        <v>101</v>
      </c>
      <c r="D46" s="31" t="s">
        <v>8</v>
      </c>
      <c r="E46" s="31" t="s">
        <v>8</v>
      </c>
      <c r="F46" s="31" t="s">
        <v>102</v>
      </c>
      <c r="G46" s="32">
        <v>3</v>
      </c>
      <c r="H46" s="30">
        <v>1.1000000000000001</v>
      </c>
      <c r="I46" s="30" t="s">
        <v>111</v>
      </c>
      <c r="J46" s="33" t="str">
        <f t="shared" ref="J46" si="13">"fe_" &amp; F46 &amp; "#" &amp; TEXT(G46,"00000")</f>
        <v>fe_PID_3#00003</v>
      </c>
      <c r="K46" s="33" t="str">
        <f t="shared" ref="K46" si="14">"[COMMIT] " &amp; F46</f>
        <v>[COMMIT] PID_3</v>
      </c>
      <c r="L46" s="33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7" t="s">
        <v>107</v>
      </c>
    </row>
    <row r="50" spans="1:13" ht="26.25" customHeight="1" thickBot="1">
      <c r="B50" s="29" t="s">
        <v>75</v>
      </c>
      <c r="C50" s="30"/>
      <c r="D50" s="31" t="s">
        <v>8</v>
      </c>
      <c r="E50" s="31" t="s">
        <v>8</v>
      </c>
      <c r="F50" s="31" t="s">
        <v>3</v>
      </c>
      <c r="G50" s="32">
        <v>1</v>
      </c>
      <c r="H50" s="30" t="s">
        <v>77</v>
      </c>
      <c r="I50" s="30"/>
      <c r="J50" s="33" t="str">
        <f>"fe_" &amp; F50 &amp; "#" &amp; TEXT(G50,"00000")</f>
        <v>fe_PID_1#00001</v>
      </c>
      <c r="K50" s="33" t="str">
        <f>"[COMMIT] " &amp; F50</f>
        <v>[COMMIT] PID_1</v>
      </c>
      <c r="L50" s="33" t="str">
        <f>"TAG-" &amp; "LO" &amp; D50 &amp; "-PH" &amp; E50 &amp; "-STEP" &amp; H50 &amp; "-" &amp;  F50</f>
        <v>TAG-LO1-PH1-STEP1.5-PID_1</v>
      </c>
      <c r="M50" s="4" t="s">
        <v>99</v>
      </c>
    </row>
    <row r="51" spans="1:13" ht="25.9" customHeight="1" thickBot="1">
      <c r="B51" s="29" t="s">
        <v>75</v>
      </c>
      <c r="C51" s="30"/>
      <c r="D51" s="31" t="s">
        <v>8</v>
      </c>
      <c r="E51" s="31" t="s">
        <v>8</v>
      </c>
      <c r="F51" s="31" t="s">
        <v>97</v>
      </c>
      <c r="G51" s="32">
        <v>2</v>
      </c>
      <c r="H51" s="30" t="s">
        <v>77</v>
      </c>
      <c r="I51" s="30"/>
      <c r="J51" s="33" t="str">
        <f>"fe_" &amp; F51 &amp; "#" &amp; TEXT(G51,"00000")</f>
        <v>fe_PID_2#00002</v>
      </c>
      <c r="K51" s="33" t="str">
        <f>"[COMMIT] " &amp; F51</f>
        <v>[COMMIT] PID_2</v>
      </c>
      <c r="L51" s="33" t="str">
        <f>"TAG-" &amp; "LO" &amp; D51 &amp; "-PH" &amp; E51 &amp; "-STEP" &amp; H51 &amp; "-" &amp;  F51</f>
        <v>TAG-LO1-PH1-STEP1.5-PID_2</v>
      </c>
      <c r="M51" s="4" t="s">
        <v>99</v>
      </c>
    </row>
    <row r="52" spans="1:13" ht="24.75" customHeight="1" thickBot="1">
      <c r="B52" s="29" t="s">
        <v>75</v>
      </c>
      <c r="C52" s="30"/>
      <c r="D52" s="31" t="s">
        <v>8</v>
      </c>
      <c r="E52" s="31" t="s">
        <v>8</v>
      </c>
      <c r="F52" s="31" t="s">
        <v>102</v>
      </c>
      <c r="G52" s="32">
        <v>3</v>
      </c>
      <c r="H52" s="30" t="s">
        <v>77</v>
      </c>
      <c r="I52" s="30"/>
      <c r="J52" s="33" t="str">
        <f t="shared" ref="J52" si="16">"fe_" &amp; F52 &amp; "#" &amp; TEXT(G52,"00000")</f>
        <v>fe_PID_3#00003</v>
      </c>
      <c r="K52" s="33" t="str">
        <f t="shared" ref="K52" si="17">"[COMMIT] " &amp; F52</f>
        <v>[COMMIT] PID_3</v>
      </c>
      <c r="L52" s="33" t="str">
        <f t="shared" ref="L52" si="18">"TAG-" &amp; "LO" &amp; D52 &amp; "-PH" &amp; E52 &amp; "-STEP" &amp; H52 &amp; "-" &amp;  F52</f>
        <v>TAG-LO1-PH1-STEP1.5-PID_3</v>
      </c>
      <c r="M52" s="4" t="s">
        <v>99</v>
      </c>
    </row>
    <row r="55" spans="1:13" ht="15.4" thickBot="1">
      <c r="A55" s="27" t="s">
        <v>108</v>
      </c>
    </row>
    <row r="56" spans="1:13" ht="26.25" customHeight="1" thickBot="1">
      <c r="B56" s="29" t="s">
        <v>75</v>
      </c>
      <c r="C56" s="30" t="s">
        <v>116</v>
      </c>
      <c r="D56" s="31" t="s">
        <v>8</v>
      </c>
      <c r="E56" s="31" t="s">
        <v>8</v>
      </c>
      <c r="F56" s="31" t="s">
        <v>3</v>
      </c>
      <c r="G56" s="32">
        <v>1</v>
      </c>
      <c r="H56" s="30" t="s">
        <v>78</v>
      </c>
      <c r="I56" s="30"/>
      <c r="J56" s="33" t="str">
        <f>"fe_" &amp; F56 &amp; "#" &amp; TEXT(G56,"00000")</f>
        <v>fe_PID_1#00001</v>
      </c>
      <c r="K56" s="33" t="str">
        <f>"[COMMIT] " &amp; F56</f>
        <v>[COMMIT] PID_1</v>
      </c>
      <c r="L56" s="33" t="str">
        <f>"TAG-" &amp; "LO" &amp; D56 &amp; "-PH" &amp; E56 &amp; "-STEP" &amp; H56 &amp; "-" &amp;  F56</f>
        <v>TAG-LO1-PH1-STEP1.6-PID_1</v>
      </c>
      <c r="M56" s="4" t="s">
        <v>99</v>
      </c>
    </row>
    <row r="57" spans="1:13" ht="25.9" customHeight="1" thickBot="1">
      <c r="B57" s="29" t="s">
        <v>75</v>
      </c>
      <c r="C57" s="30" t="s">
        <v>117</v>
      </c>
      <c r="D57" s="31" t="s">
        <v>8</v>
      </c>
      <c r="E57" s="31" t="s">
        <v>8</v>
      </c>
      <c r="F57" s="31" t="s">
        <v>97</v>
      </c>
      <c r="G57" s="32">
        <v>2</v>
      </c>
      <c r="H57" s="30" t="s">
        <v>78</v>
      </c>
      <c r="I57" s="30"/>
      <c r="J57" s="33" t="str">
        <f>"fe_" &amp; F57 &amp; "#" &amp; TEXT(G57,"00000")</f>
        <v>fe_PID_2#00002</v>
      </c>
      <c r="K57" s="33" t="str">
        <f>"[COMMIT] " &amp; F57</f>
        <v>[COMMIT] PID_2</v>
      </c>
      <c r="L57" s="33" t="str">
        <f>"TAG-" &amp; "LO" &amp; D57 &amp; "-PH" &amp; E57 &amp; "-STEP" &amp; H57 &amp; "-" &amp;  F57</f>
        <v>TAG-LO1-PH1-STEP1.6-PID_2</v>
      </c>
      <c r="M57" s="4" t="s">
        <v>99</v>
      </c>
    </row>
    <row r="58" spans="1:13" ht="24.75" customHeight="1" thickBot="1">
      <c r="B58" s="29" t="s">
        <v>75</v>
      </c>
      <c r="C58" s="30" t="s">
        <v>118</v>
      </c>
      <c r="D58" s="31" t="s">
        <v>8</v>
      </c>
      <c r="E58" s="31" t="s">
        <v>8</v>
      </c>
      <c r="F58" s="31" t="s">
        <v>102</v>
      </c>
      <c r="G58" s="32">
        <v>3</v>
      </c>
      <c r="H58" s="30" t="s">
        <v>78</v>
      </c>
      <c r="I58" s="30"/>
      <c r="J58" s="33" t="str">
        <f t="shared" ref="J58" si="19">"fe_" &amp; F58 &amp; "#" &amp; TEXT(G58,"00000")</f>
        <v>fe_PID_3#00003</v>
      </c>
      <c r="K58" s="33" t="str">
        <f t="shared" ref="K58" si="20">"[COMMIT] " &amp; F58</f>
        <v>[COMMIT] PID_3</v>
      </c>
      <c r="L58" s="33" t="str">
        <f t="shared" ref="L58" si="21">"TAG-" &amp; "LO" &amp; D58 &amp; "-PH" &amp; E58 &amp; "-STEP" &amp; H58 &amp; "-" &amp;  F58</f>
        <v>TAG-LO1-PH1-STEP1.6-PID_3</v>
      </c>
      <c r="M58" s="4" t="s">
        <v>99</v>
      </c>
    </row>
    <row r="61" spans="1:13" ht="15.4" thickBot="1">
      <c r="A61" s="27" t="s">
        <v>105</v>
      </c>
    </row>
    <row r="62" spans="1:13" ht="21.75" customHeight="1" thickBot="1">
      <c r="B62" s="29" t="s">
        <v>75</v>
      </c>
      <c r="C62" s="30"/>
      <c r="D62" s="31" t="s">
        <v>8</v>
      </c>
      <c r="E62" s="31" t="s">
        <v>8</v>
      </c>
      <c r="F62" s="31" t="s">
        <v>3</v>
      </c>
      <c r="G62" s="32">
        <v>1</v>
      </c>
      <c r="H62" s="30" t="s">
        <v>81</v>
      </c>
      <c r="I62" s="30"/>
      <c r="J62" s="33" t="str">
        <f>"fe_" &amp; F62 &amp; "#" &amp; TEXT(G62,"00000")</f>
        <v>fe_PID_1#00001</v>
      </c>
      <c r="K62" s="33" t="str">
        <f>"[COMMIT] " &amp; F62</f>
        <v>[COMMIT] PID_1</v>
      </c>
      <c r="L62" s="33" t="str">
        <f>"TAG-" &amp; "LO" &amp; D62 &amp; "-PH" &amp; E62 &amp; "-STEP" &amp; H62 &amp; "-" &amp;  F62</f>
        <v>TAG-LO1-PH1-STEP1.?-PID_1</v>
      </c>
      <c r="M62" s="4" t="s">
        <v>106</v>
      </c>
    </row>
    <row r="63" spans="1:13" ht="23.25" customHeight="1" thickBot="1">
      <c r="B63" s="29" t="s">
        <v>75</v>
      </c>
      <c r="C63" s="30"/>
      <c r="D63" s="31" t="s">
        <v>8</v>
      </c>
      <c r="E63" s="31" t="s">
        <v>8</v>
      </c>
      <c r="F63" s="31" t="s">
        <v>97</v>
      </c>
      <c r="G63" s="32">
        <v>2</v>
      </c>
      <c r="H63" s="30" t="s">
        <v>81</v>
      </c>
      <c r="I63" s="30"/>
      <c r="J63" s="33" t="str">
        <f>"fe_" &amp; F63 &amp; "#" &amp; TEXT(G63,"00000")</f>
        <v>fe_PID_2#00002</v>
      </c>
      <c r="K63" s="33" t="str">
        <f>"[COMMIT] " &amp; F63</f>
        <v>[COMMIT] PID_2</v>
      </c>
      <c r="L63" s="33" t="str">
        <f>"TAG-" &amp; "LO" &amp; D63 &amp; "-PH" &amp; E63 &amp; "-STEP" &amp; H63 &amp; "-" &amp;  F63</f>
        <v>TAG-LO1-PH1-STEP1.?-PID_2</v>
      </c>
      <c r="M63" s="4" t="s">
        <v>106</v>
      </c>
    </row>
    <row r="64" spans="1:13" ht="26.25" customHeight="1" thickBot="1">
      <c r="B64" s="29" t="s">
        <v>75</v>
      </c>
      <c r="C64" s="30"/>
      <c r="D64" s="31" t="s">
        <v>8</v>
      </c>
      <c r="E64" s="31" t="s">
        <v>8</v>
      </c>
      <c r="F64" s="31" t="s">
        <v>102</v>
      </c>
      <c r="G64" s="32">
        <v>3</v>
      </c>
      <c r="H64" s="30" t="s">
        <v>81</v>
      </c>
      <c r="I64" s="30"/>
      <c r="J64" s="33" t="str">
        <f t="shared" ref="J64" si="22">"fe_" &amp; F64 &amp; "#" &amp; TEXT(G64,"00000")</f>
        <v>fe_PID_3#00003</v>
      </c>
      <c r="K64" s="33" t="str">
        <f t="shared" ref="K64" si="23">"[COMMIT] " &amp; F64</f>
        <v>[COMMIT] PID_3</v>
      </c>
      <c r="L64" s="33" t="str">
        <f t="shared" ref="L64" si="24">"TAG-" &amp; "LO" &amp; D64 &amp; "-PH" &amp; E64 &amp; "-STEP" &amp; H64 &amp; "-" &amp;  F64</f>
        <v>TAG-LO1-PH1-STEP1.?-PID_3</v>
      </c>
      <c r="M64" s="4" t="s">
        <v>106</v>
      </c>
    </row>
    <row r="67" spans="1:13">
      <c r="A67" s="35" t="s">
        <v>120</v>
      </c>
    </row>
    <row r="69" spans="1:13" ht="15.4" thickBot="1">
      <c r="A69" s="27" t="s">
        <v>103</v>
      </c>
    </row>
    <row r="70" spans="1:13" ht="20.25" customHeight="1" thickBot="1">
      <c r="B70" s="29" t="s">
        <v>75</v>
      </c>
      <c r="C70" s="30" t="s">
        <v>113</v>
      </c>
      <c r="D70" s="31" t="s">
        <v>8</v>
      </c>
      <c r="E70" s="31" t="s">
        <v>8</v>
      </c>
      <c r="F70" s="31" t="s">
        <v>3</v>
      </c>
      <c r="G70" s="32">
        <v>1</v>
      </c>
      <c r="H70" s="30" t="s">
        <v>81</v>
      </c>
      <c r="I70" s="30"/>
      <c r="J70" s="33" t="str">
        <f>"fe_" &amp; F70 &amp; "#" &amp; TEXT(G70,"00000")</f>
        <v>fe_PID_1#00001</v>
      </c>
      <c r="K70" s="33" t="str">
        <f>"[COMMIT] " &amp; F70</f>
        <v>[COMMIT] PID_1</v>
      </c>
      <c r="L70" s="33" t="str">
        <f>"TAG-" &amp; "LO" &amp; D70 &amp; "-PH" &amp; E70 &amp; "-STEP" &amp; H70 &amp; "-" &amp;  F70</f>
        <v>TAG-LO1-PH1-STEP1.?-PID_1</v>
      </c>
      <c r="M70" s="4" t="s">
        <v>106</v>
      </c>
    </row>
    <row r="71" spans="1:13" ht="21" customHeight="1" thickBot="1">
      <c r="B71" s="29" t="s">
        <v>75</v>
      </c>
      <c r="C71" s="30" t="s">
        <v>114</v>
      </c>
      <c r="D71" s="31" t="s">
        <v>8</v>
      </c>
      <c r="E71" s="31" t="s">
        <v>8</v>
      </c>
      <c r="F71" s="31" t="s">
        <v>97</v>
      </c>
      <c r="G71" s="32">
        <v>2</v>
      </c>
      <c r="H71" s="30" t="s">
        <v>81</v>
      </c>
      <c r="I71" s="30"/>
      <c r="J71" s="33" t="str">
        <f>"fe_" &amp; F71 &amp; "#" &amp; TEXT(G71,"00000")</f>
        <v>fe_PID_2#00002</v>
      </c>
      <c r="K71" s="33" t="str">
        <f>"[COMMIT] " &amp; F71</f>
        <v>[COMMIT] PID_2</v>
      </c>
      <c r="L71" s="33" t="str">
        <f>"TAG-" &amp; "LO" &amp; D71 &amp; "-PH" &amp; E71 &amp; "-STEP" &amp; H71 &amp; "-" &amp;  F71</f>
        <v>TAG-LO1-PH1-STEP1.?-PID_2</v>
      </c>
      <c r="M71" s="4" t="s">
        <v>106</v>
      </c>
    </row>
    <row r="72" spans="1:13" ht="25.9" customHeight="1" thickBot="1">
      <c r="B72" s="29" t="s">
        <v>75</v>
      </c>
      <c r="C72" s="30" t="s">
        <v>115</v>
      </c>
      <c r="D72" s="31" t="s">
        <v>8</v>
      </c>
      <c r="E72" s="31" t="s">
        <v>8</v>
      </c>
      <c r="F72" s="31" t="s">
        <v>102</v>
      </c>
      <c r="G72" s="32">
        <v>3</v>
      </c>
      <c r="H72" s="30" t="s">
        <v>81</v>
      </c>
      <c r="I72" s="30"/>
      <c r="J72" s="33" t="str">
        <f t="shared" ref="J72" si="25">"fe_" &amp; F72 &amp; "#" &amp; TEXT(G72,"00000")</f>
        <v>fe_PID_3#00003</v>
      </c>
      <c r="K72" s="33" t="str">
        <f t="shared" ref="K72" si="26">"[COMMIT] " &amp; F72</f>
        <v>[COMMIT] PID_3</v>
      </c>
      <c r="L72" s="33" t="str">
        <f t="shared" ref="L72" si="27">"TAG-" &amp; "LO" &amp; D72 &amp; "-PH" &amp; E72 &amp; "-STEP" &amp; H72 &amp; "-" &amp;  F72</f>
        <v>TAG-LO1-PH1-STEP1.?-PID_3</v>
      </c>
      <c r="M72" s="4" t="s">
        <v>106</v>
      </c>
    </row>
    <row r="75" spans="1:13">
      <c r="A75" s="35" t="s">
        <v>121</v>
      </c>
    </row>
    <row r="77" spans="1:13">
      <c r="A77" s="27" t="s">
        <v>94</v>
      </c>
    </row>
    <row r="78" spans="1:13" ht="15.4" thickBot="1">
      <c r="A78" s="27" t="s">
        <v>95</v>
      </c>
    </row>
    <row r="79" spans="1:13" ht="24.75" customHeight="1" thickBot="1">
      <c r="B79" s="29" t="s">
        <v>75</v>
      </c>
      <c r="C79" s="30"/>
      <c r="D79" s="31" t="s">
        <v>8</v>
      </c>
      <c r="E79" s="31" t="s">
        <v>8</v>
      </c>
      <c r="F79" s="31" t="s">
        <v>3</v>
      </c>
      <c r="G79" s="32">
        <v>1</v>
      </c>
      <c r="H79" s="30" t="s">
        <v>96</v>
      </c>
      <c r="I79" s="30"/>
      <c r="J79" s="33" t="str">
        <f t="shared" ref="J79:J84" si="28">"fe_" &amp; F79 &amp; "#" &amp; TEXT(G79,"00000")</f>
        <v>fe_PID_1#00001</v>
      </c>
      <c r="K79" s="33" t="str">
        <f t="shared" ref="K79:K84" si="29">"[COMMIT] " &amp; F79</f>
        <v>[COMMIT] PID_1</v>
      </c>
      <c r="L79" s="33" t="str">
        <f t="shared" ref="L79:L85" si="30">"TAG-" &amp; "LO" &amp; D79 &amp; "-PH" &amp; E79 &amp; "-STEP" &amp; H79 &amp; "-" &amp;  F79</f>
        <v>TAG-LO1-PH1-STEP1.1-PID_1</v>
      </c>
      <c r="M79" s="4" t="s">
        <v>99</v>
      </c>
    </row>
    <row r="80" spans="1:13" ht="24.75" customHeight="1" thickBot="1">
      <c r="B80" s="29" t="s">
        <v>75</v>
      </c>
      <c r="C80" s="30"/>
      <c r="D80" s="31" t="s">
        <v>8</v>
      </c>
      <c r="E80" s="31" t="s">
        <v>8</v>
      </c>
      <c r="F80" s="31" t="s">
        <v>97</v>
      </c>
      <c r="G80" s="32">
        <v>2</v>
      </c>
      <c r="H80" s="30" t="s">
        <v>96</v>
      </c>
      <c r="I80" s="30"/>
      <c r="J80" s="33" t="str">
        <f t="shared" si="28"/>
        <v>fe_PID_2#00002</v>
      </c>
      <c r="K80" s="33" t="str">
        <f t="shared" si="29"/>
        <v>[COMMIT] PID_2</v>
      </c>
      <c r="L80" s="33" t="str">
        <f t="shared" si="30"/>
        <v>TAG-LO1-PH1-STEP1.1-PID_2</v>
      </c>
      <c r="M80" s="4" t="s">
        <v>99</v>
      </c>
    </row>
    <row r="81" spans="1:13" ht="24.75" customHeight="1" thickBot="1">
      <c r="B81" s="29" t="s">
        <v>75</v>
      </c>
      <c r="C81" s="30"/>
      <c r="D81" s="31" t="s">
        <v>8</v>
      </c>
      <c r="E81" s="31" t="s">
        <v>8</v>
      </c>
      <c r="F81" s="31" t="s">
        <v>102</v>
      </c>
      <c r="G81" s="32">
        <v>3</v>
      </c>
      <c r="H81" s="30" t="s">
        <v>96</v>
      </c>
      <c r="I81" s="30"/>
      <c r="J81" s="33" t="str">
        <f t="shared" si="28"/>
        <v>fe_PID_3#00003</v>
      </c>
      <c r="K81" s="33" t="str">
        <f t="shared" si="29"/>
        <v>[COMMIT] PID_3</v>
      </c>
      <c r="L81" s="33" t="str">
        <f t="shared" si="30"/>
        <v>TAG-LO1-PH1-STEP1.1-PID_3</v>
      </c>
      <c r="M81" s="4" t="s">
        <v>99</v>
      </c>
    </row>
    <row r="82" spans="1:13" ht="24.75" customHeight="1" thickBot="1">
      <c r="B82" s="29" t="s">
        <v>75</v>
      </c>
      <c r="C82" s="30"/>
      <c r="D82" s="31" t="s">
        <v>8</v>
      </c>
      <c r="E82" s="31" t="s">
        <v>8</v>
      </c>
      <c r="F82" s="31" t="s">
        <v>3</v>
      </c>
      <c r="G82" s="32">
        <v>1</v>
      </c>
      <c r="H82" s="30" t="s">
        <v>77</v>
      </c>
      <c r="I82" s="30"/>
      <c r="J82" s="33" t="str">
        <f t="shared" si="28"/>
        <v>fe_PID_1#00001</v>
      </c>
      <c r="K82" s="33" t="str">
        <f t="shared" si="29"/>
        <v>[COMMIT] PID_1</v>
      </c>
      <c r="L82" s="33" t="str">
        <f t="shared" si="30"/>
        <v>TAG-LO1-PH1-STEP1.5-PID_1</v>
      </c>
      <c r="M82" s="4" t="s">
        <v>99</v>
      </c>
    </row>
    <row r="83" spans="1:13" ht="24.75" customHeight="1" thickBot="1">
      <c r="B83" s="29" t="s">
        <v>75</v>
      </c>
      <c r="C83" s="30"/>
      <c r="D83" s="31" t="s">
        <v>8</v>
      </c>
      <c r="E83" s="31" t="s">
        <v>8</v>
      </c>
      <c r="F83" s="31" t="s">
        <v>97</v>
      </c>
      <c r="G83" s="32">
        <v>2</v>
      </c>
      <c r="H83" s="30" t="s">
        <v>77</v>
      </c>
      <c r="I83" s="30"/>
      <c r="J83" s="33" t="str">
        <f t="shared" si="28"/>
        <v>fe_PID_2#00002</v>
      </c>
      <c r="K83" s="33" t="str">
        <f t="shared" si="29"/>
        <v>[COMMIT] PID_2</v>
      </c>
      <c r="L83" s="33" t="str">
        <f t="shared" si="30"/>
        <v>TAG-LO1-PH1-STEP1.5-PID_2</v>
      </c>
      <c r="M83" s="4" t="s">
        <v>99</v>
      </c>
    </row>
    <row r="84" spans="1:13" ht="24.75" customHeight="1" thickBot="1">
      <c r="B84" s="29" t="s">
        <v>75</v>
      </c>
      <c r="C84" s="30"/>
      <c r="D84" s="31" t="s">
        <v>8</v>
      </c>
      <c r="E84" s="31" t="s">
        <v>8</v>
      </c>
      <c r="F84" s="31" t="s">
        <v>102</v>
      </c>
      <c r="G84" s="32">
        <v>3</v>
      </c>
      <c r="H84" s="30" t="s">
        <v>77</v>
      </c>
      <c r="I84" s="30"/>
      <c r="J84" s="33" t="str">
        <f t="shared" si="28"/>
        <v>fe_PID_3#00003</v>
      </c>
      <c r="K84" s="33" t="str">
        <f t="shared" si="29"/>
        <v>[COMMIT] PID_3</v>
      </c>
      <c r="L84" s="33" t="str">
        <f t="shared" si="30"/>
        <v>TAG-LO1-PH1-STEP1.5-PID_3</v>
      </c>
      <c r="M84" s="4" t="s">
        <v>99</v>
      </c>
    </row>
    <row r="85" spans="1:13" ht="24.75" customHeight="1" thickBot="1">
      <c r="B85" s="29" t="s">
        <v>75</v>
      </c>
      <c r="C85" s="30"/>
      <c r="D85" s="31" t="s">
        <v>8</v>
      </c>
      <c r="E85" s="31" t="s">
        <v>8</v>
      </c>
      <c r="F85" s="31" t="s">
        <v>97</v>
      </c>
      <c r="G85" s="32">
        <v>2</v>
      </c>
      <c r="H85" s="30" t="s">
        <v>78</v>
      </c>
      <c r="I85" s="30"/>
      <c r="J85" s="33" t="str">
        <f t="shared" ref="J85" si="31">"fe_" &amp; F85 &amp; "#" &amp; TEXT(G85,"00000")</f>
        <v>fe_PID_2#00002</v>
      </c>
      <c r="K85" s="33" t="str">
        <f t="shared" ref="K85" si="32">"[COMMIT] " &amp; F85</f>
        <v>[COMMIT] PID_2</v>
      </c>
      <c r="L85" s="33" t="str">
        <f t="shared" si="30"/>
        <v>TAG-LO1-PH1-STEP1.6-PID_2</v>
      </c>
      <c r="M85" s="4" t="s">
        <v>99</v>
      </c>
    </row>
    <row r="87" spans="1:13">
      <c r="A87" s="27" t="s">
        <v>122</v>
      </c>
    </row>
    <row r="88" spans="1:13">
      <c r="B88" s="28" t="s">
        <v>123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2023-09-16T08:17:08Z</dcterms:modified>
</cp:coreProperties>
</file>