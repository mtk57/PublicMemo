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AutoWorker\Worker01\"/>
    </mc:Choice>
  </mc:AlternateContent>
  <xr:revisionPtr revIDLastSave="0" documentId="13_ncr:1_{D0CB99AC-7A4F-40C6-AFC0-C4DA23234D64}" xr6:coauthVersionLast="47" xr6:coauthVersionMax="47" xr10:uidLastSave="{00000000-0000-0000-0000-000000000000}"/>
  <bookViews>
    <workbookView xWindow="-98" yWindow="-98" windowWidth="22695" windowHeight="14476" activeTab="1" xr2:uid="{00000000-000D-0000-FFFF-FFFF00000000}"/>
  </bookViews>
  <sheets>
    <sheet name="params" sheetId="1" r:id="rId1"/>
    <sheet name="main" sheetId="2" r:id="rId2"/>
    <sheet name="danger_zone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9" i="1" l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B21" i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I39" i="1"/>
  <c r="H39" i="1"/>
  <c r="I38" i="1"/>
  <c r="H38" i="1"/>
  <c r="I37" i="1"/>
  <c r="H37" i="1"/>
  <c r="I36" i="1"/>
  <c r="H36" i="1"/>
  <c r="I35" i="1"/>
  <c r="H35" i="1"/>
  <c r="I34" i="1"/>
  <c r="H34" i="1"/>
  <c r="I33" i="1"/>
  <c r="H33" i="1"/>
  <c r="I32" i="1"/>
  <c r="H32" i="1"/>
  <c r="I31" i="1"/>
  <c r="H31" i="1"/>
  <c r="I30" i="1"/>
  <c r="H30" i="1"/>
  <c r="I29" i="1"/>
  <c r="H29" i="1"/>
  <c r="I28" i="1"/>
  <c r="H28" i="1"/>
  <c r="I27" i="1"/>
  <c r="H27" i="1"/>
  <c r="I26" i="1"/>
  <c r="H26" i="1"/>
  <c r="I25" i="1"/>
  <c r="H25" i="1"/>
  <c r="I24" i="1"/>
  <c r="H24" i="1"/>
  <c r="I23" i="1"/>
  <c r="H23" i="1"/>
  <c r="I22" i="1"/>
  <c r="H22" i="1"/>
  <c r="I21" i="1"/>
  <c r="I20" i="1"/>
  <c r="H21" i="1"/>
  <c r="H20" i="1"/>
</calcChain>
</file>

<file path=xl/sharedStrings.xml><?xml version="1.0" encoding="utf-8"?>
<sst xmlns="http://schemas.openxmlformats.org/spreadsheetml/2006/main" count="64" uniqueCount="53">
  <si>
    <t>デバッグログ出力</t>
    <phoneticPr fontId="1"/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</si>
  <si>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</si>
  <si>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memo</t>
    <phoneticPr fontId="1"/>
  </si>
  <si>
    <t>複数可。空行が見つかるまで探索。</t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</si>
  <si>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</si>
  <si>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C:\_git\PublicMemo\VBA\VBプロジェクトコレクター\VBProjCollector.xlsm</t>
    <phoneticPr fontId="1"/>
  </si>
  <si>
    <t>★=必須</t>
    <rPh sb="2" eb="4">
      <t>ヒッス</t>
    </rPh>
    <phoneticPr fontId="1"/>
  </si>
  <si>
    <t>PID_1</t>
    <phoneticPr fontId="1"/>
  </si>
  <si>
    <t>PID_2</t>
    <phoneticPr fontId="1"/>
  </si>
  <si>
    <t>develop</t>
    <phoneticPr fontId="1"/>
  </si>
  <si>
    <t>https://github.com/mtk57/GIT_0020</t>
    <phoneticPr fontId="1"/>
  </si>
  <si>
    <t>①外部ツールファイルパス(絶対パス) ★</t>
    <phoneticPr fontId="1"/>
  </si>
  <si>
    <t>②VBプロジェクトファイルを収集するフォルダパス(絶対パス) ★</t>
    <rPh sb="14" eb="16">
      <t>シュウシュウ</t>
    </rPh>
    <phoneticPr fontId="1"/>
  </si>
  <si>
    <t>(A)GitリポジトリURL</t>
    <phoneticPr fontId="1"/>
  </si>
  <si>
    <t>(B)Gitフォルダパス(絶対パス) ★</t>
    <phoneticPr fontId="1"/>
  </si>
  <si>
    <t>黄色セルは式が入っているので変更しないこと</t>
    <rPh sb="0" eb="2">
      <t>キイロ</t>
    </rPh>
    <rPh sb="5" eb="6">
      <t>シキ</t>
    </rPh>
    <rPh sb="7" eb="8">
      <t>ハイ</t>
    </rPh>
    <rPh sb="14" eb="16">
      <t>ヘンコウ</t>
    </rPh>
    <phoneticPr fontId="1"/>
  </si>
  <si>
    <t>(D)ベースブランチ名 ★</t>
    <rPh sb="10" eb="11">
      <t>メイ</t>
    </rPh>
    <phoneticPr fontId="1"/>
  </si>
  <si>
    <t>(C)起点フォルダ名★</t>
    <rPh sb="3" eb="5">
      <t>キテン</t>
    </rPh>
    <rPh sb="9" eb="10">
      <t>メイ</t>
    </rPh>
    <phoneticPr fontId="1"/>
  </si>
  <si>
    <t>未指定の場合はクローン済とみなす。</t>
    <rPh sb="0" eb="3">
      <t>ミシテイ</t>
    </rPh>
    <rPh sb="4" eb="6">
      <t>バアイ</t>
    </rPh>
    <rPh sb="11" eb="12">
      <t>スミ</t>
    </rPh>
    <phoneticPr fontId="1"/>
  </si>
  <si>
    <t>②から(C)のフォルダ配下を(B)にコピーする。</t>
    <rPh sb="11" eb="13">
      <t>ハイカ</t>
    </rPh>
    <phoneticPr fontId="1"/>
  </si>
  <si>
    <t>1</t>
    <phoneticPr fontId="1"/>
  </si>
  <si>
    <t>C:\_tmp\Worker01_wk</t>
    <phoneticPr fontId="1"/>
  </si>
  <si>
    <t>C:\_git_wk\GIT_0020</t>
    <phoneticPr fontId="1"/>
  </si>
  <si>
    <t>(1)VBプロジェクトファイルの絶対パス　★</t>
    <rPh sb="16" eb="18">
      <t>ゼッタイ</t>
    </rPh>
    <phoneticPr fontId="1"/>
  </si>
  <si>
    <t/>
  </si>
  <si>
    <t>(2)Lot　★</t>
    <phoneticPr fontId="1"/>
  </si>
  <si>
    <t>(3)Phase　★</t>
    <phoneticPr fontId="1"/>
  </si>
  <si>
    <t>(4)PID　★</t>
    <phoneticPr fontId="1"/>
  </si>
  <si>
    <t>(5)Redmine#　★</t>
    <phoneticPr fontId="1"/>
  </si>
  <si>
    <t>(6)Branch</t>
    <phoneticPr fontId="1"/>
  </si>
  <si>
    <t>(7)Commit</t>
    <phoneticPr fontId="1"/>
  </si>
  <si>
    <t>(8)Tag</t>
    <phoneticPr fontId="1"/>
  </si>
  <si>
    <t>タグ収集</t>
    <rPh sb="2" eb="4">
      <t>シュウ</t>
    </rPh>
    <phoneticPr fontId="1"/>
  </si>
  <si>
    <t>ブランチ作成</t>
    <phoneticPr fontId="1"/>
  </si>
  <si>
    <t>自動化メニュー</t>
    <rPh sb="0" eb="3">
      <t>ジドウカ</t>
    </rPh>
    <phoneticPr fontId="1"/>
  </si>
  <si>
    <t>Parameters</t>
    <phoneticPr fontId="1"/>
  </si>
  <si>
    <t>[Common]</t>
    <phoneticPr fontId="1"/>
  </si>
  <si>
    <t>[Git]</t>
    <phoneticPr fontId="1"/>
  </si>
  <si>
    <t>[Target]</t>
    <phoneticPr fontId="1"/>
  </si>
  <si>
    <t>danger_zone</t>
    <phoneticPr fontId="1"/>
  </si>
  <si>
    <t>NO</t>
  </si>
  <si>
    <t>1.(B)に(A)をクローンする。
2.(C)にスイッチする。
3.(6)ブランチを作成する。
4.②のフォルダをコピーして(7)コミットする。(コピーは②\(C)配下を(B)\(C)にコピーするので注意)
5.(8)タグをつけてプッシュする。
6.2～5を[Target]の行数分繰り返す。</t>
    <rPh sb="42" eb="44">
      <t>サクセイ</t>
    </rPh>
    <rPh sb="82" eb="84">
      <t>ハイカ</t>
    </rPh>
    <rPh sb="100" eb="102">
      <t>チュウイ</t>
    </rPh>
    <rPh sb="138" eb="140">
      <t>ギョウスウ</t>
    </rPh>
    <rPh sb="140" eb="141">
      <t>ブン</t>
    </rPh>
    <rPh sb="141" eb="142">
      <t>ク</t>
    </rPh>
    <rPh sb="143" eb="144">
      <t>カエ</t>
    </rPh>
    <phoneticPr fontId="1"/>
  </si>
  <si>
    <t>1.[Target]のVBプロジェクトファイル(C18～C37)を②のフォルダに収集する。</t>
    <rPh sb="40" eb="42">
      <t>シュウシュウ</t>
    </rPh>
    <phoneticPr fontId="1"/>
  </si>
  <si>
    <t>1.(B)に(A)をクローンする。
2.(C)にスイッチする。
3.(8)タグをzipで②に出力する。
4.3を[Target]の行数分繰り返す。</t>
    <rPh sb="46" eb="48">
      <t>シュツ</t>
    </rPh>
    <rPh sb="65" eb="67">
      <t>ギョウスウ</t>
    </rPh>
    <rPh sb="67" eb="68">
      <t>ブン</t>
    </rPh>
    <rPh sb="68" eb="69">
      <t>ク</t>
    </rPh>
    <rPh sb="70" eb="71">
      <t>カエ</t>
    </rPh>
    <phoneticPr fontId="1"/>
  </si>
  <si>
    <t>タグ収集時に参照。未指定の場合は全STEP("STEP1.?")とする。正規表現可。(8)に"STEP1.1"を含むこと。 Ex1."STEP1.?", Ex2."STEP1.[24]"</t>
    <rPh sb="2" eb="4">
      <t>シュウ</t>
    </rPh>
    <rPh sb="4" eb="5">
      <t>ジ</t>
    </rPh>
    <rPh sb="6" eb="8">
      <t>サンショウ</t>
    </rPh>
    <rPh sb="9" eb="12">
      <t>ミシテイ</t>
    </rPh>
    <rPh sb="13" eb="15">
      <t>バアイ</t>
    </rPh>
    <rPh sb="16" eb="17">
      <t>スベ</t>
    </rPh>
    <rPh sb="36" eb="38">
      <t>セイキ</t>
    </rPh>
    <rPh sb="38" eb="40">
      <t>ヒョウゲン</t>
    </rPh>
    <rPh sb="40" eb="41">
      <t>カ</t>
    </rPh>
    <rPh sb="56" eb="57">
      <t>フク</t>
    </rPh>
    <phoneticPr fontId="1"/>
  </si>
  <si>
    <t>STEP1.?</t>
    <phoneticPr fontId="1"/>
  </si>
  <si>
    <t>(F)(6)が存在した場合は削除する</t>
    <rPh sb="7" eb="9">
      <t>ソンザイ</t>
    </rPh>
    <rPh sb="11" eb="13">
      <t>バアイ</t>
    </rPh>
    <rPh sb="14" eb="16">
      <t>サク</t>
    </rPh>
    <phoneticPr fontId="1"/>
  </si>
  <si>
    <t>(G)タグ収集するSTEP</t>
    <rPh sb="5" eb="7">
      <t>シュウ</t>
    </rPh>
    <phoneticPr fontId="1"/>
  </si>
  <si>
    <t>(E)リモートブランチを更新する</t>
    <rPh sb="12" eb="14">
      <t>コウシン</t>
    </rPh>
    <phoneticPr fontId="1"/>
  </si>
  <si>
    <t>Zsrc</t>
    <phoneticPr fontId="1"/>
  </si>
  <si>
    <t>C:\_git_wk\GIT_0010\SRC_010\Zsrc\Other\testB\testB.vbproj</t>
  </si>
  <si>
    <t>C:\_git_wk\GIT_0010\SRC_010\Zsrc\DSizing\testA\testA.vbp</t>
  </si>
  <si>
    <t>ver.0.9.6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</si>
</sst>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0"/>
  </numFmts>
  <fonts count="1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  <font>
      <b/>
      <sz val="9"/>
      <color theme="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9"/>
      <color rgb="FFFF0000"/>
      <name val="Yu Gothic"/>
      <family val="3"/>
      <charset val="128"/>
    </font>
    <font>
      <b/>
      <sz val="16"/>
      <color rgb="FFFF0000"/>
      <name val="Meiryo UI"/>
      <family val="3"/>
      <charset val="128"/>
    </font>
    <font>
      <b/>
      <u/>
      <sz val="12"/>
      <name val="Meiryo UI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30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3" fillId="3" borderId="2" xfId="0" applyNumberFormat="1" applyFont="1" applyFill="1" applyBorder="1" applyAlignment="1">
      <alignment horizontal="left" vertical="center"/>
    </xf>
    <xf numFmtId="49" fontId="3" fillId="3" borderId="3" xfId="0" applyNumberFormat="1" applyFont="1" applyFill="1" applyBorder="1" applyAlignment="1">
      <alignment horizontal="left" vertical="center"/>
    </xf>
    <xf numFmtId="49" fontId="3" fillId="3" borderId="6" xfId="0" applyNumberFormat="1" applyFont="1" applyFill="1" applyBorder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5" fillId="2" borderId="2" xfId="0" applyNumberFormat="1" applyFont="1" applyFill="1" applyBorder="1" applyAlignment="1">
      <alignment horizontal="left" vertical="center" wrapText="1"/>
    </xf>
    <xf numFmtId="49" fontId="5" fillId="0" borderId="2" xfId="0" applyNumberFormat="1" applyFont="1" applyBorder="1" applyAlignment="1">
      <alignment horizontal="left" vertical="center"/>
    </xf>
    <xf numFmtId="49" fontId="5" fillId="0" borderId="3" xfId="0" applyNumberFormat="1" applyFont="1" applyBorder="1" applyAlignment="1">
      <alignment horizontal="left" vertical="center"/>
    </xf>
    <xf numFmtId="49" fontId="5" fillId="0" borderId="6" xfId="0" applyNumberFormat="1" applyFont="1" applyBorder="1" applyAlignment="1">
      <alignment horizontal="left" vertical="center"/>
    </xf>
    <xf numFmtId="49" fontId="5" fillId="2" borderId="2" xfId="0" applyNumberFormat="1" applyFont="1" applyFill="1" applyBorder="1" applyAlignment="1">
      <alignment horizontal="left" vertical="center"/>
    </xf>
    <xf numFmtId="49" fontId="5" fillId="2" borderId="1" xfId="0" applyNumberFormat="1" applyFont="1" applyFill="1" applyBorder="1" applyAlignment="1">
      <alignment horizontal="left" vertical="center"/>
    </xf>
    <xf numFmtId="49" fontId="5" fillId="2" borderId="8" xfId="0" applyNumberFormat="1" applyFont="1" applyFill="1" applyBorder="1" applyAlignment="1">
      <alignment horizontal="left" vertical="center"/>
    </xf>
    <xf numFmtId="49" fontId="8" fillId="5" borderId="8" xfId="0" applyNumberFormat="1" applyFont="1" applyFill="1" applyBorder="1" applyAlignment="1">
      <alignment horizontal="left" vertical="center"/>
    </xf>
    <xf numFmtId="49" fontId="5" fillId="6" borderId="4" xfId="0" applyNumberFormat="1" applyFont="1" applyFill="1" applyBorder="1" applyAlignment="1">
      <alignment horizontal="left" vertical="center"/>
    </xf>
    <xf numFmtId="49" fontId="5" fillId="6" borderId="7" xfId="0" applyNumberFormat="1" applyFont="1" applyFill="1" applyBorder="1" applyAlignment="1">
      <alignment horizontal="left" vertical="center"/>
    </xf>
    <xf numFmtId="176" fontId="5" fillId="6" borderId="4" xfId="0" applyNumberFormat="1" applyFont="1" applyFill="1" applyBorder="1" applyAlignment="1">
      <alignment horizontal="left" vertical="center"/>
    </xf>
    <xf numFmtId="0" fontId="5" fillId="4" borderId="7" xfId="0" applyFont="1" applyFill="1" applyBorder="1" applyAlignment="1">
      <alignment horizontal="left" vertical="center"/>
    </xf>
    <xf numFmtId="49" fontId="9" fillId="7" borderId="0" xfId="0" applyNumberFormat="1" applyFont="1" applyFill="1" applyAlignment="1">
      <alignment horizontal="left" vertical="center"/>
    </xf>
    <xf numFmtId="49" fontId="9" fillId="0" borderId="0" xfId="0" applyNumberFormat="1" applyFont="1" applyAlignment="1">
      <alignment horizontal="left" vertical="center"/>
    </xf>
    <xf numFmtId="49" fontId="7" fillId="7" borderId="0" xfId="0" applyNumberFormat="1" applyFont="1" applyFill="1" applyAlignment="1">
      <alignment horizontal="left" vertical="center"/>
    </xf>
    <xf numFmtId="49" fontId="11" fillId="7" borderId="0" xfId="0" applyNumberFormat="1" applyFont="1" applyFill="1" applyAlignment="1">
      <alignment horizontal="left" vertical="center"/>
    </xf>
    <xf numFmtId="49" fontId="5" fillId="0" borderId="7" xfId="0" applyNumberFormat="1" applyFont="1" applyBorder="1" applyAlignment="1">
      <alignment horizontal="left" vertical="center" wrapText="1"/>
    </xf>
    <xf numFmtId="49" fontId="12" fillId="0" borderId="0" xfId="0" applyNumberFormat="1" applyFont="1" applyAlignment="1">
      <alignment horizontal="left" vertical="center"/>
    </xf>
    <xf numFmtId="49" fontId="5" fillId="6" borderId="4" xfId="0" applyNumberFormat="1" applyFont="1" applyFill="1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119063</xdr:colOff>
          <xdr:row>5</xdr:row>
          <xdr:rowOff>80963</xdr:rowOff>
        </xdr:from>
        <xdr:to>
          <xdr:col>7</xdr:col>
          <xdr:colOff>104775</xdr:colOff>
          <xdr:row>5</xdr:row>
          <xdr:rowOff>366713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6</xdr:row>
          <xdr:rowOff>366713</xdr:rowOff>
        </xdr:from>
        <xdr:to>
          <xdr:col>7</xdr:col>
          <xdr:colOff>95250</xdr:colOff>
          <xdr:row>6</xdr:row>
          <xdr:rowOff>623888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147638</xdr:colOff>
          <xdr:row>9</xdr:row>
          <xdr:rowOff>238125</xdr:rowOff>
        </xdr:from>
        <xdr:to>
          <xdr:col>7</xdr:col>
          <xdr:colOff>109538</xdr:colOff>
          <xdr:row>9</xdr:row>
          <xdr:rowOff>495300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2</xdr:row>
          <xdr:rowOff>61913</xdr:rowOff>
        </xdr:from>
        <xdr:to>
          <xdr:col>2</xdr:col>
          <xdr:colOff>1290638</xdr:colOff>
          <xdr:row>3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Branch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3</xdr:row>
          <xdr:rowOff>390525</xdr:rowOff>
        </xdr:from>
        <xdr:to>
          <xdr:col>2</xdr:col>
          <xdr:colOff>1309688</xdr:colOff>
          <xdr:row>4</xdr:row>
          <xdr:rowOff>95250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39"/>
  <sheetViews>
    <sheetView showGridLines="0" zoomScale="130" zoomScaleNormal="130" workbookViewId="0">
      <selection activeCell="C20" sqref="C20"/>
    </sheetView>
  </sheetViews>
  <sheetFormatPr defaultColWidth="3.5625" defaultRowHeight="15"/>
  <cols>
    <col min="1" max="1" width="3.5625" style="2"/>
    <col min="2" max="2" width="4.5" style="2" customWidth="1"/>
    <col min="3" max="3" width="27.5" style="2" customWidth="1"/>
    <col min="4" max="4" width="5.5" style="2" customWidth="1"/>
    <col min="5" max="5" width="5.875" style="2" customWidth="1"/>
    <col min="6" max="6" width="13.5" style="2" customWidth="1"/>
    <col min="7" max="7" width="6.9375" style="2" customWidth="1"/>
    <col min="8" max="8" width="8.3125" style="2" customWidth="1"/>
    <col min="9" max="9" width="9.4375" style="2" customWidth="1"/>
    <col min="10" max="10" width="7.375" style="2" customWidth="1"/>
    <col min="11" max="11" width="5.9375" style="2" customWidth="1"/>
    <col min="12" max="16384" width="3.5625" style="2"/>
  </cols>
  <sheetData>
    <row r="1" spans="1:23" ht="22.15">
      <c r="A1" s="3" t="s">
        <v>35</v>
      </c>
    </row>
    <row r="2" spans="1:23">
      <c r="A2" s="22" t="s">
        <v>24</v>
      </c>
      <c r="D2" s="22" t="s">
        <v>24</v>
      </c>
    </row>
    <row r="3" spans="1:23">
      <c r="L3" s="2" t="s">
        <v>6</v>
      </c>
    </row>
    <row r="4" spans="1:23" ht="15.4" thickBot="1">
      <c r="B4" s="1" t="s">
        <v>36</v>
      </c>
      <c r="L4" s="4" t="s">
        <v>2</v>
      </c>
      <c r="M4" s="5"/>
      <c r="N4" s="5"/>
      <c r="O4" s="5"/>
      <c r="P4" s="5"/>
      <c r="Q4" s="5"/>
      <c r="R4" s="5"/>
      <c r="S4" s="5"/>
      <c r="T4" s="5"/>
      <c r="U4" s="5"/>
      <c r="V4" s="5"/>
      <c r="W4" s="6"/>
    </row>
    <row r="5" spans="1:23" s="8" customFormat="1" ht="35.25" customHeight="1" thickBot="1">
      <c r="C5" s="9" t="s">
        <v>11</v>
      </c>
      <c r="D5" s="27" t="s">
        <v>5</v>
      </c>
      <c r="E5" s="28"/>
      <c r="F5" s="28"/>
      <c r="G5" s="29"/>
      <c r="L5" s="10"/>
      <c r="M5" s="11"/>
      <c r="N5" s="11"/>
      <c r="O5" s="11"/>
      <c r="P5" s="11"/>
      <c r="Q5" s="11"/>
      <c r="R5" s="11"/>
      <c r="S5" s="11"/>
      <c r="T5" s="11"/>
      <c r="U5" s="11"/>
      <c r="V5" s="11"/>
      <c r="W5" s="12"/>
    </row>
    <row r="6" spans="1:23" s="8" customFormat="1" ht="35.25" customHeight="1" thickBot="1">
      <c r="C6" s="9" t="s">
        <v>12</v>
      </c>
      <c r="D6" s="27" t="s">
        <v>21</v>
      </c>
      <c r="E6" s="28"/>
      <c r="F6" s="28"/>
      <c r="G6" s="29"/>
      <c r="L6" s="10" t="s">
        <v>1</v>
      </c>
      <c r="M6" s="11"/>
      <c r="N6" s="11"/>
      <c r="O6" s="11"/>
      <c r="P6" s="11"/>
      <c r="Q6" s="11"/>
      <c r="R6" s="11"/>
      <c r="S6" s="11"/>
      <c r="T6" s="11"/>
      <c r="U6" s="11"/>
      <c r="V6" s="11"/>
      <c r="W6" s="12"/>
    </row>
    <row r="7" spans="1:23" s="8" customFormat="1" ht="18" thickBot="1">
      <c r="C7" s="9" t="s">
        <v>0</v>
      </c>
      <c r="D7" s="27" t="s">
        <v>40</v>
      </c>
      <c r="E7" s="28"/>
      <c r="F7" s="28"/>
      <c r="G7" s="29"/>
      <c r="L7" s="10" t="s">
        <v>4</v>
      </c>
      <c r="M7" s="11"/>
      <c r="N7" s="11"/>
      <c r="O7" s="11"/>
      <c r="P7" s="11"/>
      <c r="Q7" s="11"/>
      <c r="R7" s="11"/>
      <c r="S7" s="11"/>
      <c r="T7" s="11"/>
      <c r="U7" s="11"/>
      <c r="V7" s="11"/>
      <c r="W7" s="12"/>
    </row>
    <row r="9" spans="1:23" ht="15.4" thickBot="1">
      <c r="B9" s="1" t="s">
        <v>37</v>
      </c>
      <c r="L9" s="4" t="s">
        <v>2</v>
      </c>
      <c r="M9" s="5"/>
      <c r="N9" s="5"/>
      <c r="O9" s="5"/>
      <c r="P9" s="5"/>
      <c r="Q9" s="5"/>
      <c r="R9" s="5"/>
      <c r="S9" s="5"/>
      <c r="T9" s="5"/>
      <c r="U9" s="5"/>
      <c r="V9" s="5"/>
      <c r="W9" s="6"/>
    </row>
    <row r="10" spans="1:23" s="8" customFormat="1" ht="32.65" customHeight="1" thickBot="1">
      <c r="C10" s="13" t="s">
        <v>13</v>
      </c>
      <c r="D10" s="27" t="s">
        <v>10</v>
      </c>
      <c r="E10" s="28"/>
      <c r="F10" s="28"/>
      <c r="G10" s="29"/>
      <c r="L10" s="10" t="s">
        <v>18</v>
      </c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2"/>
    </row>
    <row r="11" spans="1:23" s="8" customFormat="1" ht="15.4" customHeight="1" thickBot="1">
      <c r="C11" s="13" t="s">
        <v>14</v>
      </c>
      <c r="D11" s="27" t="s">
        <v>22</v>
      </c>
      <c r="E11" s="28"/>
      <c r="F11" s="28"/>
      <c r="G11" s="29"/>
      <c r="L11" s="10" t="s">
        <v>1</v>
      </c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2"/>
    </row>
    <row r="12" spans="1:23" s="8" customFormat="1" ht="18" thickBot="1">
      <c r="C12" s="13" t="s">
        <v>17</v>
      </c>
      <c r="D12" s="27" t="s">
        <v>49</v>
      </c>
      <c r="E12" s="28"/>
      <c r="F12" s="28"/>
      <c r="G12" s="29"/>
      <c r="L12" s="10" t="s">
        <v>19</v>
      </c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2"/>
    </row>
    <row r="13" spans="1:23" s="8" customFormat="1" ht="18" thickBot="1">
      <c r="C13" s="13" t="s">
        <v>16</v>
      </c>
      <c r="D13" s="27" t="s">
        <v>9</v>
      </c>
      <c r="E13" s="28"/>
      <c r="F13" s="28"/>
      <c r="G13" s="29"/>
      <c r="L13" s="10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2"/>
    </row>
    <row r="14" spans="1:23" s="8" customFormat="1" ht="18" thickBot="1">
      <c r="C14" s="13" t="s">
        <v>48</v>
      </c>
      <c r="D14" s="27" t="s">
        <v>40</v>
      </c>
      <c r="E14" s="28"/>
      <c r="F14" s="28"/>
      <c r="G14" s="29"/>
      <c r="L14" s="10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2"/>
    </row>
    <row r="15" spans="1:23" s="8" customFormat="1" ht="18" thickBot="1">
      <c r="C15" s="13" t="s">
        <v>46</v>
      </c>
      <c r="D15" s="27" t="s">
        <v>40</v>
      </c>
      <c r="E15" s="28"/>
      <c r="F15" s="28"/>
      <c r="G15" s="29"/>
      <c r="L15" s="10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2"/>
    </row>
    <row r="16" spans="1:23" s="8" customFormat="1" ht="18" thickBot="1">
      <c r="C16" s="13" t="s">
        <v>47</v>
      </c>
      <c r="D16" s="27" t="s">
        <v>45</v>
      </c>
      <c r="E16" s="28"/>
      <c r="F16" s="28"/>
      <c r="G16" s="29"/>
      <c r="L16" s="10" t="s">
        <v>44</v>
      </c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2"/>
    </row>
    <row r="18" spans="2:23">
      <c r="B18" s="1" t="s">
        <v>38</v>
      </c>
      <c r="H18" s="7" t="s">
        <v>15</v>
      </c>
      <c r="L18" s="4" t="s">
        <v>2</v>
      </c>
      <c r="M18" s="5"/>
      <c r="N18" s="5"/>
      <c r="O18" s="5"/>
      <c r="P18" s="5"/>
      <c r="Q18" s="5"/>
      <c r="R18" s="5"/>
      <c r="S18" s="5"/>
      <c r="T18" s="5"/>
      <c r="U18" s="5"/>
      <c r="V18" s="5"/>
      <c r="W18" s="6"/>
    </row>
    <row r="19" spans="2:23" s="8" customFormat="1" ht="12.4" thickBot="1">
      <c r="C19" s="14" t="s">
        <v>23</v>
      </c>
      <c r="D19" s="15" t="s">
        <v>25</v>
      </c>
      <c r="E19" s="15" t="s">
        <v>26</v>
      </c>
      <c r="F19" s="15" t="s">
        <v>27</v>
      </c>
      <c r="G19" s="14" t="s">
        <v>28</v>
      </c>
      <c r="H19" s="16" t="s">
        <v>29</v>
      </c>
      <c r="I19" s="16" t="s">
        <v>30</v>
      </c>
      <c r="J19" s="16" t="s">
        <v>31</v>
      </c>
      <c r="L19" s="10" t="s">
        <v>3</v>
      </c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2"/>
    </row>
    <row r="20" spans="2:23" s="8" customFormat="1" ht="12.4" thickBot="1">
      <c r="B20" s="8" t="s">
        <v>20</v>
      </c>
      <c r="C20" s="17" t="s">
        <v>51</v>
      </c>
      <c r="D20" s="18" t="s">
        <v>20</v>
      </c>
      <c r="E20" s="18" t="s">
        <v>20</v>
      </c>
      <c r="F20" s="18" t="s">
        <v>7</v>
      </c>
      <c r="G20" s="19">
        <v>1</v>
      </c>
      <c r="H20" s="20" t="str">
        <f t="shared" ref="H20:H39" si="0">"fe_" &amp; F20 &amp; "#" &amp; TEXT(G20,"00000")</f>
        <v>fe_PID_1#00001</v>
      </c>
      <c r="I20" s="20" t="str">
        <f t="shared" ref="I20:I39" si="1">"[COMMIT] " &amp; F20</f>
        <v>[COMMIT] PID_1</v>
      </c>
      <c r="J20" s="20" t="str">
        <f>"TAG-" &amp; "LO" &amp; D20 &amp; "-PH" &amp; E20 &amp; "-STEP1.1-" &amp;  F20</f>
        <v>TAG-LO1-PH1-STEP1.1-PID_1</v>
      </c>
    </row>
    <row r="21" spans="2:23" s="8" customFormat="1" ht="12.4" thickBot="1">
      <c r="B21" s="8">
        <f>B20+1</f>
        <v>2</v>
      </c>
      <c r="C21" s="17" t="s">
        <v>50</v>
      </c>
      <c r="D21" s="18" t="s">
        <v>20</v>
      </c>
      <c r="E21" s="18" t="s">
        <v>20</v>
      </c>
      <c r="F21" s="18" t="s">
        <v>8</v>
      </c>
      <c r="G21" s="19">
        <v>2</v>
      </c>
      <c r="H21" s="20" t="str">
        <f t="shared" si="0"/>
        <v>fe_PID_2#00002</v>
      </c>
      <c r="I21" s="20" t="str">
        <f t="shared" si="1"/>
        <v>[COMMIT] PID_2</v>
      </c>
      <c r="J21" s="20" t="str">
        <f t="shared" ref="J21:J39" si="2">"TAG-" &amp; "LO" &amp; D21 &amp; "-PH" &amp; E21 &amp; "-STEP1.1-" &amp;  F21</f>
        <v>TAG-LO1-PH1-STEP1.1-PID_2</v>
      </c>
    </row>
    <row r="22" spans="2:23" s="8" customFormat="1" ht="12.4" thickBot="1">
      <c r="B22" s="8">
        <f t="shared" ref="B22:B39" si="3">B21+1</f>
        <v>3</v>
      </c>
      <c r="C22" s="17"/>
      <c r="D22" s="18"/>
      <c r="E22" s="18"/>
      <c r="F22" s="18"/>
      <c r="G22" s="19"/>
      <c r="H22" s="20" t="str">
        <f t="shared" si="0"/>
        <v>fe_#00000</v>
      </c>
      <c r="I22" s="20" t="str">
        <f t="shared" si="1"/>
        <v xml:space="preserve">[COMMIT] </v>
      </c>
      <c r="J22" s="20" t="str">
        <f t="shared" si="2"/>
        <v>TAG-LO-PH-STEP1.1-</v>
      </c>
    </row>
    <row r="23" spans="2:23" s="8" customFormat="1" ht="12.4" thickBot="1">
      <c r="B23" s="8">
        <f t="shared" si="3"/>
        <v>4</v>
      </c>
      <c r="C23" s="17"/>
      <c r="D23" s="18"/>
      <c r="E23" s="18"/>
      <c r="F23" s="18"/>
      <c r="G23" s="19"/>
      <c r="H23" s="20" t="str">
        <f t="shared" si="0"/>
        <v>fe_#00000</v>
      </c>
      <c r="I23" s="20" t="str">
        <f t="shared" si="1"/>
        <v xml:space="preserve">[COMMIT] </v>
      </c>
      <c r="J23" s="20" t="str">
        <f t="shared" si="2"/>
        <v>TAG-LO-PH-STEP1.1-</v>
      </c>
    </row>
    <row r="24" spans="2:23" s="8" customFormat="1" ht="12.4" thickBot="1">
      <c r="B24" s="8">
        <f t="shared" si="3"/>
        <v>5</v>
      </c>
      <c r="C24" s="17"/>
      <c r="D24" s="18"/>
      <c r="E24" s="18"/>
      <c r="F24" s="18"/>
      <c r="G24" s="19"/>
      <c r="H24" s="20" t="str">
        <f t="shared" si="0"/>
        <v>fe_#00000</v>
      </c>
      <c r="I24" s="20" t="str">
        <f t="shared" si="1"/>
        <v xml:space="preserve">[COMMIT] </v>
      </c>
      <c r="J24" s="20" t="str">
        <f t="shared" si="2"/>
        <v>TAG-LO-PH-STEP1.1-</v>
      </c>
    </row>
    <row r="25" spans="2:23" s="8" customFormat="1" ht="12.4" thickBot="1">
      <c r="B25" s="8">
        <f t="shared" si="3"/>
        <v>6</v>
      </c>
      <c r="C25" s="17"/>
      <c r="D25" s="18"/>
      <c r="E25" s="18"/>
      <c r="F25" s="18"/>
      <c r="G25" s="19"/>
      <c r="H25" s="20" t="str">
        <f t="shared" si="0"/>
        <v>fe_#00000</v>
      </c>
      <c r="I25" s="20" t="str">
        <f t="shared" si="1"/>
        <v xml:space="preserve">[COMMIT] </v>
      </c>
      <c r="J25" s="20" t="str">
        <f t="shared" si="2"/>
        <v>TAG-LO-PH-STEP1.1-</v>
      </c>
    </row>
    <row r="26" spans="2:23" s="8" customFormat="1" ht="12.4" thickBot="1">
      <c r="B26" s="8">
        <f t="shared" si="3"/>
        <v>7</v>
      </c>
      <c r="C26" s="17"/>
      <c r="D26" s="18"/>
      <c r="E26" s="18"/>
      <c r="F26" s="18"/>
      <c r="G26" s="19"/>
      <c r="H26" s="20" t="str">
        <f t="shared" si="0"/>
        <v>fe_#00000</v>
      </c>
      <c r="I26" s="20" t="str">
        <f t="shared" si="1"/>
        <v xml:space="preserve">[COMMIT] </v>
      </c>
      <c r="J26" s="20" t="str">
        <f t="shared" si="2"/>
        <v>TAG-LO-PH-STEP1.1-</v>
      </c>
    </row>
    <row r="27" spans="2:23" s="8" customFormat="1" ht="12.4" thickBot="1">
      <c r="B27" s="8">
        <f t="shared" si="3"/>
        <v>8</v>
      </c>
      <c r="C27" s="17"/>
      <c r="D27" s="18"/>
      <c r="E27" s="18"/>
      <c r="F27" s="18"/>
      <c r="G27" s="19"/>
      <c r="H27" s="20" t="str">
        <f t="shared" si="0"/>
        <v>fe_#00000</v>
      </c>
      <c r="I27" s="20" t="str">
        <f t="shared" si="1"/>
        <v xml:space="preserve">[COMMIT] </v>
      </c>
      <c r="J27" s="20" t="str">
        <f t="shared" si="2"/>
        <v>TAG-LO-PH-STEP1.1-</v>
      </c>
    </row>
    <row r="28" spans="2:23" s="8" customFormat="1" ht="12.4" thickBot="1">
      <c r="B28" s="8">
        <f t="shared" si="3"/>
        <v>9</v>
      </c>
      <c r="C28" s="17"/>
      <c r="D28" s="18"/>
      <c r="E28" s="18"/>
      <c r="F28" s="18"/>
      <c r="G28" s="19"/>
      <c r="H28" s="20" t="str">
        <f t="shared" si="0"/>
        <v>fe_#00000</v>
      </c>
      <c r="I28" s="20" t="str">
        <f t="shared" si="1"/>
        <v xml:space="preserve">[COMMIT] </v>
      </c>
      <c r="J28" s="20" t="str">
        <f t="shared" si="2"/>
        <v>TAG-LO-PH-STEP1.1-</v>
      </c>
    </row>
    <row r="29" spans="2:23" s="8" customFormat="1" ht="12.4" thickBot="1">
      <c r="B29" s="8">
        <f t="shared" si="3"/>
        <v>10</v>
      </c>
      <c r="C29" s="17"/>
      <c r="D29" s="18"/>
      <c r="E29" s="18"/>
      <c r="F29" s="18"/>
      <c r="G29" s="19"/>
      <c r="H29" s="20" t="str">
        <f t="shared" si="0"/>
        <v>fe_#00000</v>
      </c>
      <c r="I29" s="20" t="str">
        <f t="shared" si="1"/>
        <v xml:space="preserve">[COMMIT] </v>
      </c>
      <c r="J29" s="20" t="str">
        <f t="shared" si="2"/>
        <v>TAG-LO-PH-STEP1.1-</v>
      </c>
    </row>
    <row r="30" spans="2:23" s="8" customFormat="1" ht="12.4" thickBot="1">
      <c r="B30" s="8">
        <f t="shared" si="3"/>
        <v>11</v>
      </c>
      <c r="C30" s="17"/>
      <c r="D30" s="18"/>
      <c r="E30" s="18"/>
      <c r="F30" s="18"/>
      <c r="G30" s="19"/>
      <c r="H30" s="20" t="str">
        <f t="shared" si="0"/>
        <v>fe_#00000</v>
      </c>
      <c r="I30" s="20" t="str">
        <f t="shared" si="1"/>
        <v xml:space="preserve">[COMMIT] </v>
      </c>
      <c r="J30" s="20" t="str">
        <f t="shared" si="2"/>
        <v>TAG-LO-PH-STEP1.1-</v>
      </c>
    </row>
    <row r="31" spans="2:23" s="8" customFormat="1" ht="12.4" thickBot="1">
      <c r="B31" s="8">
        <f t="shared" si="3"/>
        <v>12</v>
      </c>
      <c r="C31" s="17"/>
      <c r="D31" s="18"/>
      <c r="E31" s="18"/>
      <c r="F31" s="18"/>
      <c r="G31" s="19"/>
      <c r="H31" s="20" t="str">
        <f t="shared" si="0"/>
        <v>fe_#00000</v>
      </c>
      <c r="I31" s="20" t="str">
        <f t="shared" si="1"/>
        <v xml:space="preserve">[COMMIT] </v>
      </c>
      <c r="J31" s="20" t="str">
        <f t="shared" si="2"/>
        <v>TAG-LO-PH-STEP1.1-</v>
      </c>
    </row>
    <row r="32" spans="2:23" s="8" customFormat="1" ht="12.4" thickBot="1">
      <c r="B32" s="8">
        <f t="shared" si="3"/>
        <v>13</v>
      </c>
      <c r="C32" s="17"/>
      <c r="D32" s="18"/>
      <c r="E32" s="18"/>
      <c r="F32" s="18"/>
      <c r="G32" s="19"/>
      <c r="H32" s="20" t="str">
        <f t="shared" si="0"/>
        <v>fe_#00000</v>
      </c>
      <c r="I32" s="20" t="str">
        <f t="shared" si="1"/>
        <v xml:space="preserve">[COMMIT] </v>
      </c>
      <c r="J32" s="20" t="str">
        <f t="shared" si="2"/>
        <v>TAG-LO-PH-STEP1.1-</v>
      </c>
    </row>
    <row r="33" spans="2:10" s="8" customFormat="1" ht="12.4" thickBot="1">
      <c r="B33" s="8">
        <f t="shared" si="3"/>
        <v>14</v>
      </c>
      <c r="C33" s="17"/>
      <c r="D33" s="18"/>
      <c r="E33" s="18"/>
      <c r="F33" s="18"/>
      <c r="G33" s="19"/>
      <c r="H33" s="20" t="str">
        <f t="shared" si="0"/>
        <v>fe_#00000</v>
      </c>
      <c r="I33" s="20" t="str">
        <f t="shared" si="1"/>
        <v xml:space="preserve">[COMMIT] </v>
      </c>
      <c r="J33" s="20" t="str">
        <f t="shared" si="2"/>
        <v>TAG-LO-PH-STEP1.1-</v>
      </c>
    </row>
    <row r="34" spans="2:10" s="8" customFormat="1" ht="12.4" thickBot="1">
      <c r="B34" s="8">
        <f t="shared" si="3"/>
        <v>15</v>
      </c>
      <c r="C34" s="17"/>
      <c r="D34" s="18"/>
      <c r="E34" s="18"/>
      <c r="F34" s="18"/>
      <c r="G34" s="19"/>
      <c r="H34" s="20" t="str">
        <f t="shared" si="0"/>
        <v>fe_#00000</v>
      </c>
      <c r="I34" s="20" t="str">
        <f t="shared" si="1"/>
        <v xml:space="preserve">[COMMIT] </v>
      </c>
      <c r="J34" s="20" t="str">
        <f t="shared" si="2"/>
        <v>TAG-LO-PH-STEP1.1-</v>
      </c>
    </row>
    <row r="35" spans="2:10" s="8" customFormat="1" ht="12.4" thickBot="1">
      <c r="B35" s="8">
        <f t="shared" si="3"/>
        <v>16</v>
      </c>
      <c r="C35" s="17"/>
      <c r="D35" s="18"/>
      <c r="E35" s="18"/>
      <c r="F35" s="18"/>
      <c r="G35" s="19"/>
      <c r="H35" s="20" t="str">
        <f t="shared" si="0"/>
        <v>fe_#00000</v>
      </c>
      <c r="I35" s="20" t="str">
        <f t="shared" si="1"/>
        <v xml:space="preserve">[COMMIT] </v>
      </c>
      <c r="J35" s="20" t="str">
        <f t="shared" si="2"/>
        <v>TAG-LO-PH-STEP1.1-</v>
      </c>
    </row>
    <row r="36" spans="2:10" s="8" customFormat="1" ht="12.4" thickBot="1">
      <c r="B36" s="8">
        <f t="shared" si="3"/>
        <v>17</v>
      </c>
      <c r="C36" s="17"/>
      <c r="D36" s="18"/>
      <c r="E36" s="18"/>
      <c r="F36" s="18"/>
      <c r="G36" s="19"/>
      <c r="H36" s="20" t="str">
        <f t="shared" si="0"/>
        <v>fe_#00000</v>
      </c>
      <c r="I36" s="20" t="str">
        <f t="shared" si="1"/>
        <v xml:space="preserve">[COMMIT] </v>
      </c>
      <c r="J36" s="20" t="str">
        <f t="shared" si="2"/>
        <v>TAG-LO-PH-STEP1.1-</v>
      </c>
    </row>
    <row r="37" spans="2:10" s="8" customFormat="1" ht="12.4" thickBot="1">
      <c r="B37" s="8">
        <f t="shared" si="3"/>
        <v>18</v>
      </c>
      <c r="C37" s="17"/>
      <c r="D37" s="18"/>
      <c r="E37" s="18"/>
      <c r="F37" s="18"/>
      <c r="G37" s="19"/>
      <c r="H37" s="20" t="str">
        <f t="shared" si="0"/>
        <v>fe_#00000</v>
      </c>
      <c r="I37" s="20" t="str">
        <f t="shared" si="1"/>
        <v xml:space="preserve">[COMMIT] </v>
      </c>
      <c r="J37" s="20" t="str">
        <f t="shared" si="2"/>
        <v>TAG-LO-PH-STEP1.1-</v>
      </c>
    </row>
    <row r="38" spans="2:10" s="8" customFormat="1" ht="12.4" thickBot="1">
      <c r="B38" s="8">
        <f t="shared" si="3"/>
        <v>19</v>
      </c>
      <c r="C38" s="17"/>
      <c r="D38" s="18"/>
      <c r="E38" s="18"/>
      <c r="F38" s="18"/>
      <c r="G38" s="19"/>
      <c r="H38" s="20" t="str">
        <f t="shared" si="0"/>
        <v>fe_#00000</v>
      </c>
      <c r="I38" s="20" t="str">
        <f t="shared" si="1"/>
        <v xml:space="preserve">[COMMIT] </v>
      </c>
      <c r="J38" s="20" t="str">
        <f t="shared" si="2"/>
        <v>TAG-LO-PH-STEP1.1-</v>
      </c>
    </row>
    <row r="39" spans="2:10" s="8" customFormat="1" ht="12.4" thickBot="1">
      <c r="B39" s="8">
        <f t="shared" si="3"/>
        <v>20</v>
      </c>
      <c r="C39" s="17"/>
      <c r="D39" s="18"/>
      <c r="E39" s="18"/>
      <c r="F39" s="18"/>
      <c r="G39" s="19"/>
      <c r="H39" s="20" t="str">
        <f t="shared" si="0"/>
        <v>fe_#00000</v>
      </c>
      <c r="I39" s="20" t="str">
        <f t="shared" si="1"/>
        <v xml:space="preserve">[COMMIT] </v>
      </c>
      <c r="J39" s="20" t="str">
        <f t="shared" si="2"/>
        <v>TAG-LO-PH-STEP1.1-</v>
      </c>
    </row>
  </sheetData>
  <mergeCells count="10">
    <mergeCell ref="D16:G16"/>
    <mergeCell ref="D5:G5"/>
    <mergeCell ref="D6:G6"/>
    <mergeCell ref="D15:G15"/>
    <mergeCell ref="D7:G7"/>
    <mergeCell ref="D10:G10"/>
    <mergeCell ref="D11:G11"/>
    <mergeCell ref="D12:G12"/>
    <mergeCell ref="D13:G13"/>
    <mergeCell ref="D14:G14"/>
  </mergeCells>
  <phoneticPr fontId="1"/>
  <dataValidations count="1">
    <dataValidation type="list" allowBlank="1" showInputMessage="1" showErrorMessage="1" sqref="D7 D14:D15" xr:uid="{B4A3B225-9897-40C9-94F4-263A99389ED8}">
      <formula1>"YES,NO"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29523-4DE5-410C-90A1-2A6091FC59DD}">
  <sheetPr codeName="Sheet2"/>
  <dimension ref="A1:C10"/>
  <sheetViews>
    <sheetView showGridLines="0" tabSelected="1" zoomScale="115" zoomScaleNormal="115" workbookViewId="0">
      <selection activeCell="B3" sqref="B3"/>
    </sheetView>
  </sheetViews>
  <sheetFormatPr defaultColWidth="3.5625" defaultRowHeight="15"/>
  <cols>
    <col min="1" max="1" width="3.5625" style="2"/>
    <col min="2" max="2" width="4.5" style="2" customWidth="1"/>
    <col min="3" max="3" width="74.0625" style="2" customWidth="1"/>
    <col min="4" max="16384" width="3.5625" style="2"/>
  </cols>
  <sheetData>
    <row r="1" spans="1:3" ht="22.15">
      <c r="A1" s="3" t="s">
        <v>34</v>
      </c>
    </row>
    <row r="2" spans="1:3">
      <c r="B2" s="2" t="s">
        <v>52</v>
      </c>
    </row>
    <row r="3" spans="1:3">
      <c r="B3" s="22"/>
    </row>
    <row r="5" spans="1:3" ht="16.899999999999999" thickBot="1">
      <c r="B5" s="26" t="s">
        <v>33</v>
      </c>
    </row>
    <row r="6" spans="1:3" ht="42" customHeight="1" thickBot="1">
      <c r="C6" s="25" t="s">
        <v>42</v>
      </c>
    </row>
    <row r="7" spans="1:3" ht="88.15" customHeight="1" thickBot="1">
      <c r="C7" s="25" t="s">
        <v>41</v>
      </c>
    </row>
    <row r="9" spans="1:3" ht="16.899999999999999" thickBot="1">
      <c r="B9" s="26" t="s">
        <v>32</v>
      </c>
    </row>
    <row r="10" spans="1:3" ht="64.900000000000006" customHeight="1" thickBot="1">
      <c r="C10" s="25" t="s">
        <v>43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001_Click">
                <anchor moveWithCells="1" sizeWithCells="1">
                  <from>
                    <xdr:col>3</xdr:col>
                    <xdr:colOff>119063</xdr:colOff>
                    <xdr:row>5</xdr:row>
                    <xdr:rowOff>80963</xdr:rowOff>
                  </from>
                  <to>
                    <xdr:col>7</xdr:col>
                    <xdr:colOff>104775</xdr:colOff>
                    <xdr:row>5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002_Click">
                <anchor moveWithCells="1" sizeWithCells="1">
                  <from>
                    <xdr:col>3</xdr:col>
                    <xdr:colOff>133350</xdr:colOff>
                    <xdr:row>6</xdr:row>
                    <xdr:rowOff>366713</xdr:rowOff>
                  </from>
                  <to>
                    <xdr:col>7</xdr:col>
                    <xdr:colOff>95250</xdr:colOff>
                    <xdr:row>6</xdr:row>
                    <xdr:rowOff>623888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CollectTag_Click">
                <anchor moveWithCells="1" sizeWithCells="1">
                  <from>
                    <xdr:col>3</xdr:col>
                    <xdr:colOff>147638</xdr:colOff>
                    <xdr:row>9</xdr:row>
                    <xdr:rowOff>238125</xdr:rowOff>
                  </from>
                  <to>
                    <xdr:col>7</xdr:col>
                    <xdr:colOff>109538</xdr:colOff>
                    <xdr:row>9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DF3EE-43D3-4077-AA09-E5C3BA829EAF}">
  <sheetPr codeName="Sheet3">
    <tabColor rgb="FFFF0000"/>
  </sheetPr>
  <dimension ref="A1:G5"/>
  <sheetViews>
    <sheetView showGridLines="0" zoomScale="130" zoomScaleNormal="130" workbookViewId="0">
      <selection activeCell="C5" sqref="C5"/>
    </sheetView>
  </sheetViews>
  <sheetFormatPr defaultColWidth="3.5625" defaultRowHeight="15"/>
  <cols>
    <col min="1" max="1" width="3.5625" style="23"/>
    <col min="2" max="2" width="4.5" style="23" customWidth="1"/>
    <col min="3" max="3" width="27.5" style="23" customWidth="1"/>
    <col min="4" max="4" width="5.5" style="23" customWidth="1"/>
    <col min="5" max="5" width="5.875" style="23" customWidth="1"/>
    <col min="6" max="6" width="13.5" style="23" customWidth="1"/>
    <col min="7" max="7" width="6.9375" style="23" customWidth="1"/>
    <col min="8" max="8" width="8.3125" style="23" customWidth="1"/>
    <col min="9" max="9" width="9.4375" style="23" customWidth="1"/>
    <col min="10" max="10" width="7.375" style="23" customWidth="1"/>
    <col min="11" max="11" width="5.9375" style="23" customWidth="1"/>
    <col min="12" max="16384" width="3.5625" style="23"/>
  </cols>
  <sheetData>
    <row r="1" spans="1:7" ht="22.15">
      <c r="A1" s="24" t="s">
        <v>39</v>
      </c>
      <c r="D1" s="21" t="s">
        <v>24</v>
      </c>
    </row>
    <row r="4" spans="1:7" ht="42" customHeight="1">
      <c r="B4" s="21"/>
      <c r="C4" s="21"/>
      <c r="D4" s="21"/>
      <c r="E4" s="21"/>
      <c r="F4" s="21"/>
      <c r="G4" s="21"/>
    </row>
    <row r="5" spans="1:7" ht="88.15" customHeight="1"/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DeleteBranch_Click">
                <anchor moveWithCells="1" sizeWithCells="1">
                  <from>
                    <xdr:col>1</xdr:col>
                    <xdr:colOff>66675</xdr:colOff>
                    <xdr:row>2</xdr:row>
                    <xdr:rowOff>61913</xdr:rowOff>
                  </from>
                  <to>
                    <xdr:col>2</xdr:col>
                    <xdr:colOff>1290638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DeleteTag_Click">
                <anchor moveWithCells="1" sizeWithCells="1">
                  <from>
                    <xdr:col>1</xdr:col>
                    <xdr:colOff>95250</xdr:colOff>
                    <xdr:row>3</xdr:row>
                    <xdr:rowOff>390525</xdr:rowOff>
                  </from>
                  <to>
                    <xdr:col>2</xdr:col>
                    <xdr:colOff>1309688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params</vt:lpstr>
      <vt:lpstr>main</vt:lpstr>
      <vt:lpstr>danger_zone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2023-05-01T12:21:37Z</dcterms:modified>
</cp:coreProperties>
</file>