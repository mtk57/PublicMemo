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4CD71EAF-81B5-4C92-B930-4E37AF64B266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4" i="1" l="1"/>
  <c r="J24" i="1"/>
  <c r="I24" i="1"/>
  <c r="K41" i="1"/>
  <c r="J41" i="1"/>
  <c r="I41" i="1"/>
  <c r="K43" i="1"/>
  <c r="J43" i="1"/>
  <c r="I43" i="1"/>
  <c r="K42" i="1"/>
  <c r="J42" i="1"/>
  <c r="I42" i="1"/>
  <c r="K40" i="1"/>
  <c r="J40" i="1"/>
  <c r="I40" i="1"/>
  <c r="K39" i="1"/>
  <c r="J39" i="1"/>
  <c r="I39" i="1"/>
  <c r="K28" i="1"/>
  <c r="J28" i="1"/>
  <c r="I28" i="1"/>
  <c r="K27" i="1"/>
  <c r="J27" i="1"/>
  <c r="I27" i="1"/>
  <c r="K44" i="1"/>
  <c r="K38" i="1"/>
  <c r="K37" i="1"/>
  <c r="K36" i="1"/>
  <c r="K35" i="1"/>
  <c r="K34" i="1"/>
  <c r="K33" i="1"/>
  <c r="K32" i="1"/>
  <c r="K31" i="1"/>
  <c r="K30" i="1"/>
  <c r="K29" i="1"/>
  <c r="K26" i="1"/>
  <c r="K25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J44" i="1"/>
  <c r="I44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6" i="1"/>
  <c r="I26" i="1"/>
  <c r="J25" i="1"/>
  <c r="I25" i="1"/>
  <c r="A42" i="1" l="1"/>
  <c r="A43" i="1" s="1"/>
  <c r="A44" i="1" s="1"/>
  <c r="A41" i="1"/>
</calcChain>
</file>

<file path=xl/sharedStrings.xml><?xml version="1.0" encoding="utf-8"?>
<sst xmlns="http://schemas.openxmlformats.org/spreadsheetml/2006/main" count="228" uniqueCount="101">
  <si>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</si>
  <si>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</si>
  <si>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</si>
  <si>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</si>
  <si>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</si>
  <si>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</si>
  <si>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</si>
  <si>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</si>
  <si>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</si>
  <si>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</si>
  <si>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</si>
  <si>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</si>
  <si>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</si>
  <si>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</si>
  <si>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</si>
  <si>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</si>
  <si>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</si>
  <si>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</si>
  <si>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</si>
  <si>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</si>
  <si>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</si>
  <si>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</si>
  <si>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</si>
  <si>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</si>
  <si>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</si>
  <si>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</si>
  <si>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</si>
  <si>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</si>
  <si>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</si>
  <si>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</si>
  <si>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</si>
  <si>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</si>
  <si>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</si>
  <si>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</si>
  <si>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</si>
  <si>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</si>
  <si>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</si>
  <si>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</si>
  <si>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</si>
  <si>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</si>
  <si>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>1.(B)に(A)をクローンする。
2.(7)にスイッチする。
3.HEADに(9)タグをつけてプッシュする。(STEP1.5以外はNG)
4.2～3を[Target]の行数分繰り返す。</t>
    <rPh sb="63" eb="65">
      <t>イガイ</t>
    </rPh>
    <phoneticPr fontId="1"/>
  </si>
  <si>
    <t>指定ブランチに対してBATファイルを実行</t>
    <rPh sb="0" eb="2">
      <t>シテイ</t>
    </rPh>
    <rPh sb="7" eb="8">
      <t>タイ</t>
    </rPh>
    <rPh sb="18" eb="20">
      <t>ジッコウ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</si>
  <si>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</si>
  <si>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</si>
  <si>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</si>
  <si>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</si>
  <si>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</si>
  <si>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</si>
  <si>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</si>
  <si>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</si>
  <si>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</si>
  <si>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</si>
  <si>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</si>
  <si>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</si>
  <si>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</si>
  <si>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</si>
  <si>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</si>
  <si>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</si>
  <si>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</si>
  <si>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</si>
  <si>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</si>
  <si>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</si>
  <si>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</si>
  <si>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</si>
  <si>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</si>
  <si>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</si>
  <si>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</si>
  <si>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</si>
  <si>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</si>
  <si>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</si>
  <si>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</si>
  <si>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</si>
  <si>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</si>
  <si>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</si>
  <si>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</si>
  <si>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</si>
  <si>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</si>
  <si>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Run 001のテスト用</t>
    <rPh sb="11" eb="12">
      <t>ヨウ</t>
    </rPh>
    <phoneticPr fontId="1"/>
  </si>
  <si>
    <t>Run 002のテスト用</t>
    <rPh sb="11" eb="12">
      <t>ヨウ</t>
    </rPh>
    <phoneticPr fontId="1"/>
  </si>
  <si>
    <t>develop1</t>
    <phoneticPr fontId="1"/>
  </si>
  <si>
    <t>Run 003のテスト用</t>
    <rPh sb="11" eb="12">
      <t>ヨウ</t>
    </rPh>
    <phoneticPr fontId="1"/>
  </si>
  <si>
    <t>1.5</t>
    <phoneticPr fontId="1"/>
  </si>
  <si>
    <t>Run 004のテスト用</t>
    <rPh sb="11" eb="12">
      <t>ヨウ</t>
    </rPh>
    <phoneticPr fontId="1"/>
  </si>
  <si>
    <t>Run 005のテスト用</t>
    <rPh sb="11" eb="12">
      <t>ヨウ</t>
    </rPh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</si>
  <si>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</si>
  <si>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</si>
  <si>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</si>
  <si>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Run 006のテスト用</t>
    <rPh sb="11" eb="12">
      <t>ヨウ</t>
    </rPh>
    <phoneticPr fontId="1"/>
  </si>
  <si>
    <t>1.?</t>
    <phoneticPr fontId="1"/>
  </si>
  <si>
    <t>1.(B)に(A)をクローンする。
2.(D)にスイッチしてプルする。
3.(7)にスイッチしてプルする。
4.(D)を(7)にマージする。(ファストフォワード)
5.④のsakuraを実行する。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93" eb="95">
      <t>ジッコウ</t>
    </rPh>
    <rPh sb="189" eb="191">
      <t>ギョウスウ</t>
    </rPh>
    <rPh sb="191" eb="192">
      <t>ブン</t>
    </rPh>
    <rPh sb="192" eb="193">
      <t>ク</t>
    </rPh>
    <rPh sb="194" eb="195">
      <t>カエ</t>
    </rPh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</si>
  <si>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</si>
  <si>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</si>
  <si>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</si>
  <si>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</si>
  <si>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</si>
  <si>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</si>
  <si>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"hoge\r\n|fuga\r\n"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"C:\_git_wk\GIT_0020\SRC_030"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</si>
  <si>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 003のテスト用2</t>
    <rPh sb="11" eb="12">
      <t>ヨウ</t>
    </rPh>
    <phoneticPr fontId="1"/>
  </si>
  <si>
    <t>C:\_git_wk\GIT_0020\SRC_030\Zsrc\DSizing\全角プロジェクト.vbp</t>
    <phoneticPr fontId="1"/>
  </si>
  <si>
    <t>1.3</t>
    <phoneticPr fontId="1"/>
  </si>
  <si>
    <t>1.6.0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</si>
</sst>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9"/>
      <color rgb="FFFF0000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center" vertical="center" shrinkToFit="1"/>
    </xf>
    <xf numFmtId="49" fontId="5" fillId="12" borderId="3" xfId="0" applyNumberFormat="1" applyFont="1" applyFill="1" applyBorder="1" applyAlignment="1">
      <alignment horizontal="left" vertical="center"/>
    </xf>
    <xf numFmtId="49" fontId="5" fillId="12" borderId="5" xfId="0" applyNumberFormat="1" applyFont="1" applyFill="1" applyBorder="1" applyAlignment="1">
      <alignment horizontal="left" vertical="center"/>
    </xf>
    <xf numFmtId="176" fontId="5" fillId="12" borderId="3" xfId="0" applyNumberFormat="1" applyFont="1" applyFill="1" applyBorder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0" fontId="0" fillId="5" borderId="7" xfId="0" applyFill="1" applyBorder="1" applyAlignment="1">
      <alignment horizontal="left" vertical="center" wrapText="1"/>
    </xf>
    <xf numFmtId="0" fontId="0" fillId="5" borderId="4" xfId="0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0" fontId="0" fillId="6" borderId="7" xfId="0" applyFill="1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V19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9" customWidth="1"/>
    <col min="4" max="16384" width="3.5625" style="2"/>
  </cols>
  <sheetData>
    <row r="1" spans="1:22" ht="22.15">
      <c r="A1" s="3" t="s">
        <v>14</v>
      </c>
    </row>
    <row r="2" spans="1:22">
      <c r="A2" s="2" t="s">
        <v>37</v>
      </c>
      <c r="B2" s="2" t="s">
        <v>100</v>
      </c>
    </row>
    <row r="3" spans="1:22">
      <c r="B3" s="7"/>
      <c r="D3" s="7" t="s">
        <v>58</v>
      </c>
    </row>
    <row r="4" spans="1:22" ht="15.4" thickBot="1">
      <c r="D4" s="20" t="s">
        <v>53</v>
      </c>
      <c r="E4" s="20" t="s">
        <v>54</v>
      </c>
      <c r="F4" s="20" t="s">
        <v>55</v>
      </c>
      <c r="G4" s="20" t="s">
        <v>56</v>
      </c>
      <c r="H4" s="20" t="s">
        <v>57</v>
      </c>
      <c r="I4" s="21" t="s">
        <v>59</v>
      </c>
      <c r="J4" s="21" t="s">
        <v>60</v>
      </c>
      <c r="K4" s="21" t="s">
        <v>61</v>
      </c>
      <c r="L4" s="21" t="s">
        <v>62</v>
      </c>
      <c r="M4" s="21" t="s">
        <v>63</v>
      </c>
      <c r="N4" s="21" t="s">
        <v>64</v>
      </c>
      <c r="O4" s="21" t="s">
        <v>65</v>
      </c>
      <c r="P4" s="22" t="s">
        <v>66</v>
      </c>
      <c r="Q4" s="22" t="s">
        <v>67</v>
      </c>
      <c r="R4" s="23" t="s">
        <v>68</v>
      </c>
      <c r="S4" s="23" t="s">
        <v>69</v>
      </c>
      <c r="T4" s="23" t="s">
        <v>70</v>
      </c>
      <c r="U4" s="22" t="s">
        <v>71</v>
      </c>
      <c r="V4" s="22" t="s">
        <v>72</v>
      </c>
    </row>
    <row r="5" spans="1:22" ht="16.899999999999999" thickBot="1">
      <c r="A5" s="10" t="s">
        <v>13</v>
      </c>
    </row>
    <row r="6" spans="1:22" ht="42" customHeight="1" thickBot="1">
      <c r="C6" s="30" t="s">
        <v>73</v>
      </c>
      <c r="D6" s="20" t="s">
        <v>53</v>
      </c>
      <c r="E6" s="20" t="s">
        <v>54</v>
      </c>
      <c r="P6" s="22" t="s">
        <v>66</v>
      </c>
      <c r="Q6" s="22" t="s">
        <v>67</v>
      </c>
    </row>
    <row r="7" spans="1:22" ht="11.65" customHeight="1" thickBot="1"/>
    <row r="8" spans="1:22" ht="88.15" customHeight="1" thickBot="1">
      <c r="C8" s="30" t="s">
        <v>39</v>
      </c>
      <c r="E8" s="20" t="s">
        <v>54</v>
      </c>
      <c r="I8" s="21" t="s">
        <v>59</v>
      </c>
      <c r="J8" s="21" t="s">
        <v>60</v>
      </c>
      <c r="K8" s="21" t="s">
        <v>61</v>
      </c>
      <c r="L8" s="21" t="s">
        <v>62</v>
      </c>
      <c r="P8" s="22" t="s">
        <v>66</v>
      </c>
      <c r="Q8" s="22" t="s">
        <v>67</v>
      </c>
      <c r="R8" s="23" t="s">
        <v>68</v>
      </c>
      <c r="S8" s="23" t="s">
        <v>69</v>
      </c>
      <c r="T8" s="23" t="s">
        <v>70</v>
      </c>
      <c r="U8" s="22" t="s">
        <v>71</v>
      </c>
      <c r="V8" s="22" t="s">
        <v>72</v>
      </c>
    </row>
    <row r="10" spans="1:22" ht="16.899999999999999" thickBot="1">
      <c r="A10" s="10" t="s">
        <v>12</v>
      </c>
    </row>
    <row r="11" spans="1:22" ht="64.900000000000006" customHeight="1" thickBot="1">
      <c r="C11" s="30" t="s">
        <v>32</v>
      </c>
      <c r="I11" s="21" t="s">
        <v>59</v>
      </c>
      <c r="J11" s="21" t="s">
        <v>60</v>
      </c>
      <c r="L11" s="21" t="s">
        <v>62</v>
      </c>
      <c r="P11" s="22" t="s">
        <v>66</v>
      </c>
      <c r="Q11" s="22" t="s">
        <v>67</v>
      </c>
      <c r="R11" s="23" t="s">
        <v>68</v>
      </c>
      <c r="S11" s="23" t="s">
        <v>69</v>
      </c>
      <c r="T11" s="23" t="s">
        <v>70</v>
      </c>
      <c r="U11" s="22" t="s">
        <v>71</v>
      </c>
      <c r="V11" s="22" t="s">
        <v>72</v>
      </c>
    </row>
    <row r="13" spans="1:22" ht="16.899999999999999" thickBot="1">
      <c r="A13" s="10" t="s">
        <v>38</v>
      </c>
    </row>
    <row r="14" spans="1:22" ht="62.25" customHeight="1" thickBot="1">
      <c r="C14" s="30" t="s">
        <v>40</v>
      </c>
      <c r="I14" s="21" t="s">
        <v>59</v>
      </c>
      <c r="J14" s="21" t="s">
        <v>60</v>
      </c>
      <c r="L14" s="21" t="s">
        <v>62</v>
      </c>
      <c r="P14" s="22" t="s">
        <v>66</v>
      </c>
      <c r="R14" s="23" t="s">
        <v>68</v>
      </c>
      <c r="S14" s="23" t="s">
        <v>69</v>
      </c>
      <c r="T14" s="23" t="s">
        <v>70</v>
      </c>
      <c r="U14" s="22" t="s">
        <v>71</v>
      </c>
      <c r="V14" s="22" t="s">
        <v>72</v>
      </c>
    </row>
    <row r="16" spans="1:22" ht="16.899999999999999" thickBot="1">
      <c r="A16" s="10" t="s">
        <v>41</v>
      </c>
    </row>
    <row r="17" spans="1:22" ht="168.4" thickBot="1">
      <c r="C17" s="30" t="s">
        <v>89</v>
      </c>
      <c r="G17" s="20" t="s">
        <v>56</v>
      </c>
      <c r="I17" s="21" t="s">
        <v>59</v>
      </c>
      <c r="J17" s="21" t="s">
        <v>60</v>
      </c>
      <c r="L17" s="21" t="s">
        <v>62</v>
      </c>
      <c r="P17" s="22" t="s">
        <v>66</v>
      </c>
      <c r="R17" s="23" t="s">
        <v>68</v>
      </c>
      <c r="S17" s="23" t="s">
        <v>69</v>
      </c>
      <c r="T17" s="23" t="s">
        <v>70</v>
      </c>
      <c r="U17" s="22" t="s">
        <v>71</v>
      </c>
      <c r="V17" s="22" t="s">
        <v>72</v>
      </c>
    </row>
    <row r="18" spans="1:22" ht="16.899999999999999" thickBot="1">
      <c r="A18" s="10" t="s">
        <v>85</v>
      </c>
    </row>
    <row r="19" spans="1:22" ht="64.900000000000006" customHeight="1" thickBot="1">
      <c r="C19" s="30" t="s">
        <v>86</v>
      </c>
      <c r="I19" s="21" t="s">
        <v>59</v>
      </c>
      <c r="J19" s="21" t="s">
        <v>60</v>
      </c>
      <c r="L19" s="21" t="s">
        <v>62</v>
      </c>
      <c r="P19" s="22" t="s">
        <v>66</v>
      </c>
      <c r="R19" s="23" t="s">
        <v>68</v>
      </c>
      <c r="S19" s="23" t="s">
        <v>69</v>
      </c>
      <c r="T19" s="23" t="s">
        <v>70</v>
      </c>
      <c r="V19" s="22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4"/>
  <sheetViews>
    <sheetView showGridLines="0" topLeftCell="A7" zoomScale="115" zoomScaleNormal="115" workbookViewId="0">
      <selection activeCell="B33" sqref="B3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15</v>
      </c>
    </row>
    <row r="2" spans="1:24">
      <c r="A2" s="7" t="s">
        <v>11</v>
      </c>
      <c r="D2" s="7" t="s">
        <v>11</v>
      </c>
    </row>
    <row r="4" spans="1:24" ht="15.4" thickBot="1">
      <c r="B4" s="1" t="s">
        <v>16</v>
      </c>
      <c r="I4" s="15" t="s">
        <v>2</v>
      </c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4" s="4" customFormat="1" ht="35.25" customHeight="1" thickBot="1">
      <c r="C5" s="14" t="s">
        <v>43</v>
      </c>
      <c r="D5" s="40" t="s">
        <v>36</v>
      </c>
      <c r="E5" s="41"/>
      <c r="F5" s="41"/>
      <c r="G5" s="41"/>
      <c r="H5" s="39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4" t="s">
        <v>42</v>
      </c>
      <c r="D6" s="40" t="s">
        <v>9</v>
      </c>
      <c r="E6" s="41"/>
      <c r="F6" s="41"/>
      <c r="G6" s="41"/>
      <c r="H6" s="39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4" t="s">
        <v>34</v>
      </c>
      <c r="D7" s="40"/>
      <c r="E7" s="41"/>
      <c r="F7" s="41"/>
      <c r="G7" s="41"/>
      <c r="H7" s="39"/>
      <c r="I7" s="11" t="s">
        <v>35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4" t="s">
        <v>0</v>
      </c>
      <c r="D8" s="40" t="s">
        <v>90</v>
      </c>
      <c r="E8" s="41"/>
      <c r="F8" s="41"/>
      <c r="G8" s="41"/>
      <c r="H8" s="39"/>
      <c r="I8" s="11" t="s">
        <v>24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9" spans="1:24" s="4" customFormat="1" ht="27.75" customHeight="1" thickBot="1">
      <c r="C9" s="14" t="s">
        <v>94</v>
      </c>
      <c r="D9" s="40" t="s">
        <v>91</v>
      </c>
      <c r="E9" s="41"/>
      <c r="F9" s="41"/>
      <c r="G9" s="41"/>
      <c r="H9" s="39"/>
      <c r="I9" s="31" t="s">
        <v>92</v>
      </c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3"/>
    </row>
    <row r="10" spans="1:24" s="4" customFormat="1" ht="49.5" customHeight="1" thickBot="1">
      <c r="C10" s="14" t="s">
        <v>95</v>
      </c>
      <c r="D10" s="42" t="s">
        <v>96</v>
      </c>
      <c r="E10" s="43"/>
      <c r="F10" s="43"/>
      <c r="G10" s="43"/>
      <c r="H10" s="33"/>
      <c r="I10" s="31" t="s">
        <v>93</v>
      </c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3"/>
    </row>
    <row r="12" spans="1:24" ht="15.4" thickBot="1">
      <c r="B12" s="1" t="s">
        <v>17</v>
      </c>
      <c r="I12" s="15" t="s">
        <v>2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7"/>
    </row>
    <row r="13" spans="1:24" s="4" customFormat="1" ht="32.65" customHeight="1" thickBot="1">
      <c r="C13" s="19" t="s">
        <v>5</v>
      </c>
      <c r="D13" s="34" t="s">
        <v>4</v>
      </c>
      <c r="E13" s="35"/>
      <c r="F13" s="35"/>
      <c r="G13" s="35"/>
      <c r="H13" s="36"/>
      <c r="I13" s="11" t="s">
        <v>6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5.4" customHeight="1" thickBot="1">
      <c r="C14" s="19" t="s">
        <v>44</v>
      </c>
      <c r="D14" s="34" t="s">
        <v>10</v>
      </c>
      <c r="E14" s="35"/>
      <c r="F14" s="35"/>
      <c r="G14" s="35"/>
      <c r="H14" s="36"/>
      <c r="I14" s="11" t="s">
        <v>1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19" t="s">
        <v>45</v>
      </c>
      <c r="D15" s="34" t="s">
        <v>20</v>
      </c>
      <c r="E15" s="35"/>
      <c r="F15" s="35"/>
      <c r="G15" s="35"/>
      <c r="H15" s="36"/>
      <c r="I15" s="11" t="s">
        <v>7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19" t="s">
        <v>46</v>
      </c>
      <c r="D16" s="34" t="s">
        <v>79</v>
      </c>
      <c r="E16" s="35"/>
      <c r="F16" s="35"/>
      <c r="G16" s="35"/>
      <c r="H16" s="36"/>
      <c r="I16" s="11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thickBot="1">
      <c r="C17" s="19" t="s">
        <v>19</v>
      </c>
      <c r="D17" s="37" t="s">
        <v>27</v>
      </c>
      <c r="E17" s="38"/>
      <c r="F17" s="38"/>
      <c r="G17" s="38"/>
      <c r="H17" s="39"/>
      <c r="I17" s="11" t="s">
        <v>23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8" spans="1:24" s="4" customFormat="1" ht="18" thickBot="1">
      <c r="C18" s="19" t="s">
        <v>74</v>
      </c>
      <c r="D18" s="37" t="s">
        <v>25</v>
      </c>
      <c r="E18" s="38"/>
      <c r="F18" s="38"/>
      <c r="G18" s="38"/>
      <c r="H18" s="39"/>
      <c r="I18" s="11" t="s">
        <v>23</v>
      </c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3"/>
    </row>
    <row r="19" spans="1:24" s="4" customFormat="1" ht="18" customHeight="1" thickBot="1">
      <c r="C19" s="19" t="s">
        <v>31</v>
      </c>
      <c r="D19" s="34" t="s">
        <v>25</v>
      </c>
      <c r="E19" s="35"/>
      <c r="F19" s="35"/>
      <c r="G19" s="35"/>
      <c r="H19" s="36"/>
      <c r="I19" s="11" t="s">
        <v>33</v>
      </c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3"/>
    </row>
    <row r="21" spans="1:24" ht="15.4" thickBot="1">
      <c r="I21" s="15" t="s">
        <v>2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7"/>
    </row>
    <row r="22" spans="1:24" ht="15.4" thickBot="1">
      <c r="B22" s="1" t="s">
        <v>18</v>
      </c>
      <c r="I22" s="11" t="s">
        <v>75</v>
      </c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3"/>
    </row>
    <row r="23" spans="1:24" s="4" customFormat="1" ht="43.5" customHeight="1" thickBot="1">
      <c r="B23" s="22" t="s">
        <v>22</v>
      </c>
      <c r="C23" s="22" t="s">
        <v>47</v>
      </c>
      <c r="D23" s="23" t="s">
        <v>48</v>
      </c>
      <c r="E23" s="23" t="s">
        <v>49</v>
      </c>
      <c r="F23" s="23" t="s">
        <v>50</v>
      </c>
      <c r="G23" s="22" t="s">
        <v>51</v>
      </c>
      <c r="H23" s="22" t="s">
        <v>52</v>
      </c>
      <c r="I23" s="18" t="s">
        <v>28</v>
      </c>
      <c r="J23" s="18" t="s">
        <v>29</v>
      </c>
      <c r="K23" s="18" t="s">
        <v>30</v>
      </c>
    </row>
    <row r="24" spans="1:24" s="4" customFormat="1" ht="12.4" thickBot="1">
      <c r="A24" s="4" t="s">
        <v>8</v>
      </c>
      <c r="B24" s="24" t="s">
        <v>76</v>
      </c>
      <c r="C24" s="25" t="s">
        <v>98</v>
      </c>
      <c r="D24" s="26" t="s">
        <v>8</v>
      </c>
      <c r="E24" s="26" t="s">
        <v>8</v>
      </c>
      <c r="F24" s="26" t="s">
        <v>3</v>
      </c>
      <c r="G24" s="27">
        <v>1</v>
      </c>
      <c r="H24" s="25" t="s">
        <v>99</v>
      </c>
      <c r="I24" s="5" t="str">
        <f t="shared" ref="I24" si="0">"fe_" &amp; F24 &amp; "#" &amp; TEXT(G24,"00000")</f>
        <v>fe_PID_1#00001</v>
      </c>
      <c r="J24" s="5" t="str">
        <f t="shared" ref="J24" si="1">"[COMMIT] " &amp; F24</f>
        <v>[COMMIT] PID_1</v>
      </c>
      <c r="K24" s="5" t="str">
        <f>"TAG-" &amp; "LO" &amp; D24 &amp; "-PH" &amp; E24 &amp; "-STEP" &amp; H24 &amp; "-" &amp;  F24</f>
        <v>TAG-LO1-PH1-STEP1.3-PID_1</v>
      </c>
      <c r="L24" s="4" t="s">
        <v>97</v>
      </c>
    </row>
    <row r="25" spans="1:24" s="4" customFormat="1" ht="12.4" thickBot="1">
      <c r="A25" s="4">
        <f>A24+1</f>
        <v>2</v>
      </c>
      <c r="B25" s="24"/>
      <c r="C25" s="25"/>
      <c r="D25" s="26"/>
      <c r="E25" s="26"/>
      <c r="F25" s="26"/>
      <c r="G25" s="27"/>
      <c r="H25" s="25"/>
      <c r="I25" s="5" t="str">
        <f t="shared" ref="I24:I44" si="2">"fe_" &amp; F25 &amp; "#" &amp; TEXT(G25,"00000")</f>
        <v>fe_#00000</v>
      </c>
      <c r="J25" s="5" t="str">
        <f t="shared" ref="J24:J44" si="3">"[COMMIT] " &amp; F25</f>
        <v xml:space="preserve">[COMMIT] </v>
      </c>
      <c r="K25" s="5" t="str">
        <f t="shared" ref="K25:K44" si="4">"TAG-" &amp; "LO" &amp; D25 &amp; "-PH" &amp; E25 &amp; "-STEP" &amp; H25 &amp; "-" &amp;  F25</f>
        <v>TAG-LO-PH-STEP-</v>
      </c>
    </row>
    <row r="26" spans="1:24" s="4" customFormat="1" ht="12">
      <c r="A26" s="4">
        <f t="shared" ref="A26:A44" si="5">A25+1</f>
        <v>3</v>
      </c>
      <c r="B26" s="24"/>
      <c r="C26" s="25"/>
      <c r="D26" s="26"/>
      <c r="E26" s="26"/>
      <c r="F26" s="26"/>
      <c r="G26" s="27"/>
      <c r="H26" s="25"/>
      <c r="I26" s="5" t="str">
        <f t="shared" si="2"/>
        <v>fe_#00000</v>
      </c>
      <c r="J26" s="5" t="str">
        <f t="shared" si="3"/>
        <v xml:space="preserve">[COMMIT] </v>
      </c>
      <c r="K26" s="5" t="str">
        <f t="shared" si="4"/>
        <v>TAG-LO-PH-STEP-</v>
      </c>
    </row>
    <row r="27" spans="1:24" s="4" customFormat="1" ht="12.4" thickBot="1">
      <c r="A27" s="4">
        <f t="shared" si="5"/>
        <v>4</v>
      </c>
      <c r="B27" s="24"/>
      <c r="C27" s="25"/>
      <c r="D27" s="26"/>
      <c r="E27" s="26"/>
      <c r="F27" s="26"/>
      <c r="G27" s="27"/>
      <c r="H27" s="25"/>
      <c r="I27" s="5" t="str">
        <f t="shared" ref="I27:I28" si="6">"fe_" &amp; F27 &amp; "#" &amp; TEXT(G27,"00000")</f>
        <v>fe_#00000</v>
      </c>
      <c r="J27" s="5" t="str">
        <f t="shared" ref="J27:J28" si="7">"[COMMIT] " &amp; F27</f>
        <v xml:space="preserve">[COMMIT] </v>
      </c>
      <c r="K27" s="5" t="str">
        <f>"TAG-" &amp; "LO" &amp; D27 &amp; "-PH" &amp; E27 &amp; "-STEP" &amp; H27 &amp; "-" &amp;  F27</f>
        <v>TAG-LO-PH-STEP-</v>
      </c>
    </row>
    <row r="28" spans="1:24" s="4" customFormat="1" ht="12.4" thickBot="1">
      <c r="A28" s="4">
        <f t="shared" si="5"/>
        <v>5</v>
      </c>
      <c r="B28" s="24"/>
      <c r="C28" s="25"/>
      <c r="D28" s="26"/>
      <c r="E28" s="26"/>
      <c r="F28" s="26"/>
      <c r="G28" s="27"/>
      <c r="H28" s="25"/>
      <c r="I28" s="5" t="str">
        <f t="shared" si="6"/>
        <v>fe_#00000</v>
      </c>
      <c r="J28" s="5" t="str">
        <f t="shared" si="7"/>
        <v xml:space="preserve">[COMMIT] </v>
      </c>
      <c r="K28" s="5" t="str">
        <f t="shared" ref="K28" si="8">"TAG-" &amp; "LO" &amp; D28 &amp; "-PH" &amp; E28 &amp; "-STEP" &amp; H28 &amp; "-" &amp;  F28</f>
        <v>TAG-LO-PH-STEP-</v>
      </c>
    </row>
    <row r="29" spans="1:24" s="4" customFormat="1" ht="12.4" thickBot="1">
      <c r="A29" s="4">
        <f t="shared" si="5"/>
        <v>6</v>
      </c>
      <c r="B29" s="24"/>
      <c r="C29" s="25"/>
      <c r="D29" s="26"/>
      <c r="E29" s="26"/>
      <c r="F29" s="26"/>
      <c r="G29" s="27"/>
      <c r="H29" s="25"/>
      <c r="I29" s="5" t="str">
        <f t="shared" si="2"/>
        <v>fe_#00000</v>
      </c>
      <c r="J29" s="5" t="str">
        <f t="shared" si="3"/>
        <v xml:space="preserve">[COMMIT] </v>
      </c>
      <c r="K29" s="5" t="str">
        <f t="shared" si="4"/>
        <v>TAG-LO-PH-STEP-</v>
      </c>
    </row>
    <row r="30" spans="1:24" s="4" customFormat="1" ht="12.4" thickBot="1">
      <c r="A30" s="4">
        <f t="shared" si="5"/>
        <v>7</v>
      </c>
      <c r="B30" s="24"/>
      <c r="C30" s="25"/>
      <c r="D30" s="26"/>
      <c r="E30" s="26"/>
      <c r="F30" s="26"/>
      <c r="G30" s="27"/>
      <c r="H30" s="25"/>
      <c r="I30" s="5" t="str">
        <f t="shared" si="2"/>
        <v>fe_#00000</v>
      </c>
      <c r="J30" s="5" t="str">
        <f t="shared" si="3"/>
        <v xml:space="preserve">[COMMIT] </v>
      </c>
      <c r="K30" s="5" t="str">
        <f t="shared" si="4"/>
        <v>TAG-LO-PH-STEP-</v>
      </c>
    </row>
    <row r="31" spans="1:24" s="4" customFormat="1" ht="12.4" thickBot="1">
      <c r="A31" s="4">
        <f t="shared" si="5"/>
        <v>8</v>
      </c>
      <c r="B31" s="24"/>
      <c r="C31" s="25"/>
      <c r="D31" s="26"/>
      <c r="E31" s="26"/>
      <c r="F31" s="26"/>
      <c r="G31" s="27"/>
      <c r="H31" s="25"/>
      <c r="I31" s="5" t="str">
        <f t="shared" si="2"/>
        <v>fe_#00000</v>
      </c>
      <c r="J31" s="5" t="str">
        <f t="shared" si="3"/>
        <v xml:space="preserve">[COMMIT] </v>
      </c>
      <c r="K31" s="5" t="str">
        <f t="shared" si="4"/>
        <v>TAG-LO-PH-STEP-</v>
      </c>
    </row>
    <row r="32" spans="1:24" s="4" customFormat="1" ht="12.4" thickBot="1">
      <c r="A32" s="4">
        <f t="shared" si="5"/>
        <v>9</v>
      </c>
      <c r="B32" s="24"/>
      <c r="C32" s="25"/>
      <c r="D32" s="26"/>
      <c r="E32" s="26"/>
      <c r="F32" s="26"/>
      <c r="G32" s="27"/>
      <c r="H32" s="25"/>
      <c r="I32" s="5" t="str">
        <f t="shared" si="2"/>
        <v>fe_#00000</v>
      </c>
      <c r="J32" s="5" t="str">
        <f t="shared" si="3"/>
        <v xml:space="preserve">[COMMIT] </v>
      </c>
      <c r="K32" s="5" t="str">
        <f t="shared" si="4"/>
        <v>TAG-LO-PH-STEP-</v>
      </c>
    </row>
    <row r="33" spans="1:12" s="4" customFormat="1" ht="12.4" thickBot="1">
      <c r="A33" s="4">
        <f t="shared" si="5"/>
        <v>10</v>
      </c>
      <c r="B33" s="24"/>
      <c r="C33" s="25"/>
      <c r="D33" s="26"/>
      <c r="E33" s="26"/>
      <c r="F33" s="26"/>
      <c r="G33" s="27"/>
      <c r="H33" s="25"/>
      <c r="I33" s="5" t="str">
        <f t="shared" si="2"/>
        <v>fe_#00000</v>
      </c>
      <c r="J33" s="5" t="str">
        <f t="shared" si="3"/>
        <v xml:space="preserve">[COMMIT] </v>
      </c>
      <c r="K33" s="5" t="str">
        <f t="shared" si="4"/>
        <v>TAG-LO-PH-STEP-</v>
      </c>
    </row>
    <row r="34" spans="1:12" s="4" customFormat="1" ht="12.4" thickBot="1">
      <c r="A34" s="4">
        <f t="shared" si="5"/>
        <v>11</v>
      </c>
      <c r="B34" s="24"/>
      <c r="C34" s="25"/>
      <c r="D34" s="26"/>
      <c r="E34" s="26"/>
      <c r="F34" s="26"/>
      <c r="G34" s="27"/>
      <c r="H34" s="25"/>
      <c r="I34" s="5" t="str">
        <f t="shared" si="2"/>
        <v>fe_#00000</v>
      </c>
      <c r="J34" s="5" t="str">
        <f t="shared" si="3"/>
        <v xml:space="preserve">[COMMIT] </v>
      </c>
      <c r="K34" s="5" t="str">
        <f t="shared" si="4"/>
        <v>TAG-LO-PH-STEP-</v>
      </c>
    </row>
    <row r="35" spans="1:12" s="4" customFormat="1" ht="12.4" thickBot="1">
      <c r="A35" s="4">
        <f t="shared" si="5"/>
        <v>12</v>
      </c>
      <c r="B35" s="24"/>
      <c r="C35" s="25"/>
      <c r="D35" s="26"/>
      <c r="E35" s="26"/>
      <c r="F35" s="26"/>
      <c r="G35" s="27"/>
      <c r="H35" s="25"/>
      <c r="I35" s="5" t="str">
        <f t="shared" si="2"/>
        <v>fe_#00000</v>
      </c>
      <c r="J35" s="5" t="str">
        <f t="shared" si="3"/>
        <v xml:space="preserve">[COMMIT] </v>
      </c>
      <c r="K35" s="5" t="str">
        <f t="shared" si="4"/>
        <v>TAG-LO-PH-STEP-</v>
      </c>
    </row>
    <row r="36" spans="1:12" s="4" customFormat="1" ht="12.4" thickBot="1">
      <c r="A36" s="4">
        <f t="shared" si="5"/>
        <v>13</v>
      </c>
      <c r="B36" s="24"/>
      <c r="C36" s="25"/>
      <c r="D36" s="26"/>
      <c r="E36" s="26"/>
      <c r="F36" s="26"/>
      <c r="G36" s="27"/>
      <c r="H36" s="25"/>
      <c r="I36" s="5" t="str">
        <f t="shared" si="2"/>
        <v>fe_#00000</v>
      </c>
      <c r="J36" s="5" t="str">
        <f t="shared" si="3"/>
        <v xml:space="preserve">[COMMIT] </v>
      </c>
      <c r="K36" s="5" t="str">
        <f t="shared" si="4"/>
        <v>TAG-LO-PH-STEP-</v>
      </c>
    </row>
    <row r="37" spans="1:12" s="4" customFormat="1" ht="12.4" thickBot="1">
      <c r="A37" s="4">
        <f t="shared" si="5"/>
        <v>14</v>
      </c>
      <c r="B37" s="24"/>
      <c r="C37" s="25"/>
      <c r="D37" s="26"/>
      <c r="E37" s="26"/>
      <c r="F37" s="26"/>
      <c r="G37" s="27"/>
      <c r="H37" s="25"/>
      <c r="I37" s="5" t="str">
        <f t="shared" si="2"/>
        <v>fe_#00000</v>
      </c>
      <c r="J37" s="5" t="str">
        <f t="shared" si="3"/>
        <v xml:space="preserve">[COMMIT] </v>
      </c>
      <c r="K37" s="5" t="str">
        <f t="shared" si="4"/>
        <v>TAG-LO-PH-STEP-</v>
      </c>
    </row>
    <row r="38" spans="1:12" s="4" customFormat="1" ht="12.4" thickBot="1">
      <c r="A38" s="4">
        <f t="shared" si="5"/>
        <v>15</v>
      </c>
      <c r="B38" s="24" t="s">
        <v>76</v>
      </c>
      <c r="C38" s="25" t="s">
        <v>26</v>
      </c>
      <c r="D38" s="26"/>
      <c r="E38" s="26"/>
      <c r="F38" s="26"/>
      <c r="G38" s="27"/>
      <c r="H38" s="25"/>
      <c r="I38" s="5" t="str">
        <f t="shared" si="2"/>
        <v>fe_#00000</v>
      </c>
      <c r="J38" s="5" t="str">
        <f t="shared" si="3"/>
        <v xml:space="preserve">[COMMIT] </v>
      </c>
      <c r="K38" s="5" t="str">
        <f t="shared" si="4"/>
        <v>TAG-LO-PH-STEP-</v>
      </c>
      <c r="L38" s="4" t="s">
        <v>77</v>
      </c>
    </row>
    <row r="39" spans="1:12" s="4" customFormat="1" ht="12.4" thickBot="1">
      <c r="A39" s="4">
        <f t="shared" si="5"/>
        <v>16</v>
      </c>
      <c r="B39" s="24" t="s">
        <v>76</v>
      </c>
      <c r="C39" s="25" t="s">
        <v>26</v>
      </c>
      <c r="D39" s="26" t="s">
        <v>8</v>
      </c>
      <c r="E39" s="26" t="s">
        <v>8</v>
      </c>
      <c r="F39" s="26" t="s">
        <v>3</v>
      </c>
      <c r="G39" s="27">
        <v>1</v>
      </c>
      <c r="H39" s="25">
        <v>1.1000000000000001</v>
      </c>
      <c r="I39" s="5" t="str">
        <f t="shared" ref="I39:I43" si="9">"fe_" &amp; F39 &amp; "#" &amp; TEXT(G39,"00000")</f>
        <v>fe_PID_1#00001</v>
      </c>
      <c r="J39" s="5" t="str">
        <f t="shared" ref="J39:J43" si="10">"[COMMIT] " &amp; F39</f>
        <v>[COMMIT] PID_1</v>
      </c>
      <c r="K39" s="5" t="str">
        <f>"TAG-" &amp; "LO" &amp; D39 &amp; "-PH" &amp; E39 &amp; "-STEP" &amp; H39 &amp; "-" &amp;  F39</f>
        <v>TAG-LO1-PH1-STEP1.1-PID_1</v>
      </c>
      <c r="L39" s="4" t="s">
        <v>78</v>
      </c>
    </row>
    <row r="40" spans="1:12" s="4" customFormat="1" ht="12.4" thickBot="1">
      <c r="A40" s="4">
        <f t="shared" si="5"/>
        <v>17</v>
      </c>
      <c r="B40" s="24" t="s">
        <v>76</v>
      </c>
      <c r="C40" s="25" t="s">
        <v>26</v>
      </c>
      <c r="D40" s="26" t="s">
        <v>8</v>
      </c>
      <c r="E40" s="26" t="s">
        <v>8</v>
      </c>
      <c r="F40" s="26" t="s">
        <v>3</v>
      </c>
      <c r="G40" s="27">
        <v>1</v>
      </c>
      <c r="H40" s="25">
        <v>1.1000000000000001</v>
      </c>
      <c r="I40" s="5" t="str">
        <f t="shared" si="9"/>
        <v>fe_PID_1#00001</v>
      </c>
      <c r="J40" s="5" t="str">
        <f t="shared" si="10"/>
        <v>[COMMIT] PID_1</v>
      </c>
      <c r="K40" s="5" t="str">
        <f>"TAG-" &amp; "LO" &amp; D40 &amp; "-PH" &amp; E40 &amp; "-STEP" &amp; H40 &amp; "-" &amp;  F40</f>
        <v>TAG-LO1-PH1-STEP1.1-PID_1</v>
      </c>
      <c r="L40" s="4" t="s">
        <v>80</v>
      </c>
    </row>
    <row r="41" spans="1:12" s="4" customFormat="1" ht="12.4" thickBot="1">
      <c r="A41" s="4">
        <f t="shared" si="5"/>
        <v>18</v>
      </c>
      <c r="B41" s="24" t="s">
        <v>76</v>
      </c>
      <c r="C41" s="25" t="s">
        <v>98</v>
      </c>
      <c r="D41" s="26" t="s">
        <v>8</v>
      </c>
      <c r="E41" s="26" t="s">
        <v>8</v>
      </c>
      <c r="F41" s="26" t="s">
        <v>3</v>
      </c>
      <c r="G41" s="27">
        <v>1</v>
      </c>
      <c r="H41" s="25" t="s">
        <v>88</v>
      </c>
      <c r="I41" s="5" t="str">
        <f t="shared" ref="I41" si="11">"fe_" &amp; F41 &amp; "#" &amp; TEXT(G41,"00000")</f>
        <v>fe_PID_1#00001</v>
      </c>
      <c r="J41" s="5" t="str">
        <f t="shared" ref="J41" si="12">"[COMMIT] " &amp; F41</f>
        <v>[COMMIT] PID_1</v>
      </c>
      <c r="K41" s="5" t="str">
        <f>"TAG-" &amp; "LO" &amp; D41 &amp; "-PH" &amp; E41 &amp; "-STEP" &amp; H41 &amp; "-" &amp;  F41</f>
        <v>TAG-LO1-PH1-STEP1.?-PID_1</v>
      </c>
      <c r="L41" s="4" t="s">
        <v>97</v>
      </c>
    </row>
    <row r="42" spans="1:12" s="4" customFormat="1" ht="12.4" thickBot="1">
      <c r="A42" s="4">
        <f>A40+1</f>
        <v>18</v>
      </c>
      <c r="B42" s="24" t="s">
        <v>76</v>
      </c>
      <c r="C42" s="25"/>
      <c r="D42" s="26" t="s">
        <v>8</v>
      </c>
      <c r="E42" s="26" t="s">
        <v>8</v>
      </c>
      <c r="F42" s="26" t="s">
        <v>3</v>
      </c>
      <c r="G42" s="27">
        <v>1</v>
      </c>
      <c r="H42" s="25" t="s">
        <v>81</v>
      </c>
      <c r="I42" s="5" t="str">
        <f t="shared" si="9"/>
        <v>fe_PID_1#00001</v>
      </c>
      <c r="J42" s="5" t="str">
        <f t="shared" si="10"/>
        <v>[COMMIT] PID_1</v>
      </c>
      <c r="K42" s="5" t="str">
        <f>"TAG-" &amp; "LO" &amp; D42 &amp; "-PH" &amp; E42 &amp; "-STEP" &amp; H42 &amp; "-" &amp;  F42</f>
        <v>TAG-LO1-PH1-STEP1.5-PID_1</v>
      </c>
      <c r="L42" s="4" t="s">
        <v>82</v>
      </c>
    </row>
    <row r="43" spans="1:12" s="4" customFormat="1" ht="12.4" thickBot="1">
      <c r="A43" s="4">
        <f t="shared" si="5"/>
        <v>19</v>
      </c>
      <c r="B43" s="24" t="s">
        <v>76</v>
      </c>
      <c r="C43" s="25"/>
      <c r="D43" s="26" t="s">
        <v>8</v>
      </c>
      <c r="E43" s="26" t="s">
        <v>8</v>
      </c>
      <c r="F43" s="26" t="s">
        <v>3</v>
      </c>
      <c r="G43" s="27">
        <v>1</v>
      </c>
      <c r="H43" s="25" t="s">
        <v>84</v>
      </c>
      <c r="I43" s="5" t="str">
        <f t="shared" si="9"/>
        <v>fe_PID_1#00001</v>
      </c>
      <c r="J43" s="5" t="str">
        <f t="shared" si="10"/>
        <v>[COMMIT] PID_1</v>
      </c>
      <c r="K43" s="5" t="str">
        <f>"TAG-" &amp; "LO" &amp; D43 &amp; "-PH" &amp; E43 &amp; "-STEP" &amp; H43 &amp; "-" &amp;  F43</f>
        <v>TAG-LO1-PH1-STEP1.6-PID_1</v>
      </c>
      <c r="L43" s="4" t="s">
        <v>83</v>
      </c>
    </row>
    <row r="44" spans="1:12" s="4" customFormat="1" ht="12.4" thickBot="1">
      <c r="A44" s="4">
        <f t="shared" si="5"/>
        <v>20</v>
      </c>
      <c r="B44" s="24" t="s">
        <v>76</v>
      </c>
      <c r="C44" s="25"/>
      <c r="D44" s="26" t="s">
        <v>8</v>
      </c>
      <c r="E44" s="26" t="s">
        <v>8</v>
      </c>
      <c r="F44" s="26" t="s">
        <v>3</v>
      </c>
      <c r="G44" s="27">
        <v>1</v>
      </c>
      <c r="H44" s="25" t="s">
        <v>88</v>
      </c>
      <c r="I44" s="5" t="str">
        <f t="shared" si="2"/>
        <v>fe_PID_1#00001</v>
      </c>
      <c r="J44" s="5" t="str">
        <f t="shared" si="3"/>
        <v>[COMMIT] PID_1</v>
      </c>
      <c r="K44" s="5" t="str">
        <f t="shared" si="4"/>
        <v>TAG-LO1-PH1-STEP1.?-PID_1</v>
      </c>
      <c r="L44" s="4" t="s">
        <v>87</v>
      </c>
    </row>
  </sheetData>
  <mergeCells count="15">
    <mergeCell ref="D5:H5"/>
    <mergeCell ref="D6:H6"/>
    <mergeCell ref="D8:H8"/>
    <mergeCell ref="D13:H13"/>
    <mergeCell ref="D14:H14"/>
    <mergeCell ref="D7:H7"/>
    <mergeCell ref="D9:H9"/>
    <mergeCell ref="D10:H10"/>
    <mergeCell ref="I10:X10"/>
    <mergeCell ref="I9:X9"/>
    <mergeCell ref="D19:H19"/>
    <mergeCell ref="D15:H15"/>
    <mergeCell ref="D16:H16"/>
    <mergeCell ref="D17:H17"/>
    <mergeCell ref="D18:H18"/>
  </mergeCells>
  <phoneticPr fontId="1"/>
  <dataValidations count="2">
    <dataValidation type="list" allowBlank="1" showInputMessage="1" showErrorMessage="1" sqref="D17:D19 D8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X7"/>
  <sheetViews>
    <sheetView showGridLines="0" zoomScaleNormal="100" workbookViewId="0">
      <selection activeCell="U7" sqref="U7"/>
    </sheetView>
  </sheetViews>
  <sheetFormatPr defaultColWidth="3.5625" defaultRowHeight="15"/>
  <cols>
    <col min="1" max="1" width="3.5625" style="8"/>
    <col min="2" max="2" width="4.5" style="8" customWidth="1"/>
    <col min="3" max="3" width="18.0625" style="8" customWidth="1"/>
    <col min="4" max="22" width="3.5625" style="28"/>
    <col min="23" max="16384" width="3.5625" style="8"/>
  </cols>
  <sheetData>
    <row r="1" spans="1:24" ht="22.15">
      <c r="A1" s="9" t="s">
        <v>21</v>
      </c>
    </row>
    <row r="2" spans="1:24">
      <c r="D2" s="6" t="s">
        <v>58</v>
      </c>
    </row>
    <row r="3" spans="1:24" ht="22.9" customHeight="1" thickBot="1">
      <c r="B3" s="6"/>
      <c r="C3" s="6"/>
      <c r="D3" s="20" t="s">
        <v>53</v>
      </c>
      <c r="E3" s="20" t="s">
        <v>54</v>
      </c>
      <c r="F3" s="20" t="s">
        <v>55</v>
      </c>
      <c r="G3" s="20" t="s">
        <v>56</v>
      </c>
      <c r="H3" s="20" t="s">
        <v>57</v>
      </c>
      <c r="I3" s="21" t="s">
        <v>59</v>
      </c>
      <c r="J3" s="21" t="s">
        <v>60</v>
      </c>
      <c r="K3" s="21" t="s">
        <v>61</v>
      </c>
      <c r="L3" s="21" t="s">
        <v>62</v>
      </c>
      <c r="M3" s="21" t="s">
        <v>63</v>
      </c>
      <c r="N3" s="21" t="s">
        <v>64</v>
      </c>
      <c r="O3" s="21" t="s">
        <v>65</v>
      </c>
      <c r="P3" s="22" t="s">
        <v>66</v>
      </c>
      <c r="Q3" s="22" t="s">
        <v>67</v>
      </c>
      <c r="R3" s="23" t="s">
        <v>68</v>
      </c>
      <c r="S3" s="23" t="s">
        <v>69</v>
      </c>
      <c r="T3" s="23" t="s">
        <v>70</v>
      </c>
      <c r="U3" s="22" t="s">
        <v>71</v>
      </c>
      <c r="V3" s="22" t="s">
        <v>72</v>
      </c>
    </row>
    <row r="5" spans="1:24" ht="88.15" customHeight="1" thickBot="1">
      <c r="I5" s="21" t="s">
        <v>59</v>
      </c>
      <c r="J5" s="21" t="s">
        <v>60</v>
      </c>
      <c r="L5" s="21" t="s">
        <v>62</v>
      </c>
      <c r="P5" s="22" t="s">
        <v>66</v>
      </c>
      <c r="R5" s="23" t="s">
        <v>68</v>
      </c>
      <c r="S5" s="23" t="s">
        <v>69</v>
      </c>
      <c r="T5" s="23" t="s">
        <v>70</v>
      </c>
      <c r="U5" s="22" t="s">
        <v>71</v>
      </c>
    </row>
    <row r="6" spans="1:24" ht="10.15" customHeight="1">
      <c r="W6" s="28"/>
      <c r="X6" s="28"/>
    </row>
    <row r="7" spans="1:24" ht="78" customHeight="1" thickBot="1">
      <c r="I7" s="21" t="s">
        <v>59</v>
      </c>
      <c r="J7" s="21" t="s">
        <v>60</v>
      </c>
      <c r="L7" s="21" t="s">
        <v>62</v>
      </c>
      <c r="P7" s="22" t="s">
        <v>66</v>
      </c>
      <c r="R7" s="23" t="s">
        <v>68</v>
      </c>
      <c r="S7" s="23" t="s">
        <v>69</v>
      </c>
      <c r="T7" s="23" t="s">
        <v>70</v>
      </c>
      <c r="V7" s="22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params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2023-09-12T13:59:50Z</dcterms:modified>
</cp:coreProperties>
</file>