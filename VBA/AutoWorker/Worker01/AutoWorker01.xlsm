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6CAA5D82-3B72-48B4-AD56-3FBEF7D3FE61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6" i="1"/>
  <c r="K42" i="1"/>
  <c r="J42" i="1"/>
  <c r="I42" i="1"/>
  <c r="K41" i="1"/>
  <c r="J41" i="1"/>
  <c r="I41" i="1"/>
  <c r="K40" i="1"/>
  <c r="J40" i="1"/>
  <c r="I40" i="1"/>
  <c r="K39" i="1"/>
  <c r="J39" i="1"/>
  <c r="I39" i="1"/>
  <c r="I24" i="1"/>
  <c r="J24" i="1"/>
  <c r="K24" i="1"/>
  <c r="K28" i="1"/>
  <c r="J28" i="1"/>
  <c r="I28" i="1"/>
  <c r="K27" i="1"/>
  <c r="J27" i="1"/>
  <c r="I27" i="1"/>
  <c r="K43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J43" i="1"/>
  <c r="I43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</calcChain>
</file>

<file path=xl/sharedStrings.xml><?xml version="1.0" encoding="utf-8"?>
<sst xmlns="http://schemas.openxmlformats.org/spreadsheetml/2006/main" count="196" uniqueCount="93">
  <si>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</si>
  <si>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</si>
  <si>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</si>
  <si>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</si>
  <si>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</si>
  <si>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</si>
  <si>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</si>
  <si>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</si>
  <si>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</si>
  <si>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</si>
  <si>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</si>
  <si>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</si>
  <si>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</si>
  <si>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</si>
  <si>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</si>
  <si>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</si>
  <si>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</si>
  <si>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</si>
  <si>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</si>
  <si>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</si>
  <si>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</si>
  <si>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</si>
  <si>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</si>
  <si>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</si>
  <si>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</si>
  <si>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</si>
  <si>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</si>
  <si>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</si>
  <si>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</si>
  <si>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</si>
  <si>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</si>
  <si>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</si>
  <si>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</si>
  <si>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</si>
  <si>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</si>
  <si>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</si>
  <si>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</si>
  <si>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</si>
  <si>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</si>
  <si>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</si>
  <si>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</si>
  <si>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1.4.0</t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</si>
  <si>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</si>
  <si>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>⑤BATファイルに渡す引数</t>
    <rPh sb="9" eb="10">
      <t>ワタ</t>
    </rPh>
    <rPh sb="11" eb="13">
      <t>ヒキスウ</t>
    </rPh>
    <phoneticPr fontId="1"/>
  </si>
  <si>
    <t xml:space="preserve">④BATファイルパス(絶対パス) </t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</si>
  <si>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</si>
  <si>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</si>
  <si>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</si>
  <si>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</si>
  <si>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</si>
  <si>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</si>
  <si>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</si>
  <si>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</si>
  <si>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</si>
  <si>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</si>
  <si>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</si>
  <si>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</si>
  <si>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</si>
  <si>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</si>
  <si>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</si>
  <si>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</si>
  <si>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</si>
  <si>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</si>
  <si>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</si>
  <si>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</si>
  <si>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</si>
  <si>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</si>
  <si>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</si>
  <si>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</si>
  <si>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</si>
  <si>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</si>
  <si>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</si>
  <si>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</si>
  <si>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</si>
  <si>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</si>
  <si>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</si>
  <si>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</si>
  <si>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</si>
  <si>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</si>
  <si>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</si>
  <si>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</si>
  <si>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</si>
  <si>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</si>
  <si>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</si>
  <si>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</si>
  <si>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</si>
  <si>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</si>
  <si>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1.(B)に(A)をクローンする。
2.(7)にスイッチする。
3.(D)を(7)にマージする。(ファストフォワード)
4.④のBATを実行する。
5.(8)コミットする。
6.(9)タグをつけてプッシュする。
7.(B)にスイッチする。
8.(7)を(D)にマージする。(ファストフォワード)
9.2～8を[Target]の行数分繰り返す。
10.プッシュする。</t>
    <rPh sb="68" eb="70">
      <t>ジッコウ</t>
    </rPh>
    <rPh sb="163" eb="165">
      <t>ギョウスウ</t>
    </rPh>
    <rPh sb="165" eb="166">
      <t>ブン</t>
    </rPh>
    <rPh sb="166" eb="167">
      <t>ク</t>
    </rPh>
    <rPh sb="168" eb="169">
      <t>カエ</t>
    </rPh>
    <phoneticPr fontId="1"/>
  </si>
  <si>
    <t>1.6</t>
    <phoneticPr fontId="1"/>
  </si>
  <si>
    <t>"C:\_git\PublicMemo\Sakura\grep置換\test\src"
"*.vb"
"hoge\r\n^|fuga\r\n"
""</t>
    <phoneticPr fontId="1"/>
  </si>
  <si>
    <t>"C:\_git\PublicMemo\Sakura\grep置換\GrepReplaceTest.bat"</t>
    <phoneticPr fontId="1"/>
  </si>
  <si>
    <t>引数の仕様について④のBATファイルを参照すること。
複数ある場合は改行する。
正規表現等の「|」を使用する場合は「^」でエスケープすること。
本ツールではダブルクォーテーションは付けないので、パス等に半角スペースを含む場合は""で囲むこと。(含まなくても""で囲んでもよい)</t>
    <rPh sb="0" eb="2">
      <t>ヒキスウ</t>
    </rPh>
    <rPh sb="3" eb="5">
      <t>シヨウ</t>
    </rPh>
    <rPh sb="19" eb="21">
      <t>サンショウ</t>
    </rPh>
    <rPh sb="27" eb="29">
      <t>フクスウ</t>
    </rPh>
    <rPh sb="31" eb="33">
      <t>バアイ</t>
    </rPh>
    <rPh sb="34" eb="36">
      <t>カイギョウ</t>
    </rPh>
    <rPh sb="40" eb="44">
      <t>セイキヒョウゲン</t>
    </rPh>
    <rPh sb="44" eb="45">
      <t>ナド</t>
    </rPh>
    <rPh sb="50" eb="52">
      <t>シヨウ</t>
    </rPh>
    <rPh sb="54" eb="56">
      <t>バアイ</t>
    </rPh>
    <rPh sb="99" eb="100">
      <t>ナド</t>
    </rPh>
    <phoneticPr fontId="1"/>
  </si>
  <si>
    <t>本ツールではダブルクォーテーションは付けないので、パスに半角スペースを含む場合は""で囲むこと。(含まなくても""で囲んでもよい)
BATファイルからの戻り値は、正常=0, 正常以外=1以上の整数を返すこと。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rPh sb="76" eb="77">
      <t>モド</t>
    </rPh>
    <rPh sb="81" eb="83">
      <t>セイジョウ</t>
    </rPh>
    <rPh sb="87" eb="89">
      <t>セイジョウ</t>
    </rPh>
    <rPh sb="89" eb="91">
      <t>イガイ</t>
    </rPh>
    <rPh sb="93" eb="95">
      <t>イジョウ</t>
    </rPh>
    <rPh sb="96" eb="98">
      <t>セイスウ</t>
    </rPh>
    <rPh sb="99" eb="100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</si>
</sst>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5" fillId="6" borderId="3" xfId="0" applyNumberFormat="1" applyFont="1" applyFill="1" applyBorder="1" applyAlignment="1">
      <alignment horizontal="left" vertical="top" wrapText="1"/>
    </xf>
    <xf numFmtId="0" fontId="0" fillId="6" borderId="7" xfId="0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206033</xdr:colOff>
          <xdr:row>5</xdr:row>
          <xdr:rowOff>97527</xdr:rowOff>
        </xdr:from>
        <xdr:to>
          <xdr:col>1</xdr:col>
          <xdr:colOff>803413</xdr:colOff>
          <xdr:row>5</xdr:row>
          <xdr:rowOff>383277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203754</xdr:colOff>
          <xdr:row>7</xdr:row>
          <xdr:rowOff>89245</xdr:rowOff>
        </xdr:from>
        <xdr:to>
          <xdr:col>1</xdr:col>
          <xdr:colOff>811696</xdr:colOff>
          <xdr:row>7</xdr:row>
          <xdr:rowOff>346420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201476</xdr:colOff>
          <xdr:row>10</xdr:row>
          <xdr:rowOff>97321</xdr:rowOff>
        </xdr:from>
        <xdr:to>
          <xdr:col>1</xdr:col>
          <xdr:colOff>824120</xdr:colOff>
          <xdr:row>10</xdr:row>
          <xdr:rowOff>354496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237919</xdr:colOff>
          <xdr:row>13</xdr:row>
          <xdr:rowOff>61085</xdr:rowOff>
        </xdr:from>
        <xdr:to>
          <xdr:col>1</xdr:col>
          <xdr:colOff>836544</xdr:colOff>
          <xdr:row>13</xdr:row>
          <xdr:rowOff>303972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250343</xdr:colOff>
          <xdr:row>16</xdr:row>
          <xdr:rowOff>69368</xdr:rowOff>
        </xdr:from>
        <xdr:to>
          <xdr:col>1</xdr:col>
          <xdr:colOff>828261</xdr:colOff>
          <xdr:row>16</xdr:row>
          <xdr:rowOff>312254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7D4DB21-700E-403F-83CC-B77F11DBE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</xdr:row>
          <xdr:rowOff>459721</xdr:rowOff>
        </xdr:from>
        <xdr:to>
          <xdr:col>2</xdr:col>
          <xdr:colOff>1290638</xdr:colOff>
          <xdr:row>3</xdr:row>
          <xdr:rowOff>702608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373716</xdr:rowOff>
        </xdr:from>
        <xdr:to>
          <xdr:col>2</xdr:col>
          <xdr:colOff>1309688</xdr:colOff>
          <xdr:row>4</xdr:row>
          <xdr:rowOff>610721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7"/>
  <sheetViews>
    <sheetView showGridLines="0" topLeftCell="A4" zoomScale="90" zoomScaleNormal="90" workbookViewId="0">
      <selection activeCell="E17" sqref="E17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41</v>
      </c>
    </row>
    <row r="3" spans="1:22">
      <c r="B3" s="7"/>
      <c r="D3" s="7" t="s">
        <v>61</v>
      </c>
    </row>
    <row r="4" spans="1:22" ht="15.4" thickBot="1">
      <c r="D4" s="29" t="s">
        <v>56</v>
      </c>
      <c r="E4" s="29" t="s">
        <v>57</v>
      </c>
      <c r="F4" s="29" t="s">
        <v>58</v>
      </c>
      <c r="G4" s="29" t="s">
        <v>59</v>
      </c>
      <c r="H4" s="29" t="s">
        <v>60</v>
      </c>
      <c r="I4" s="30" t="s">
        <v>62</v>
      </c>
      <c r="J4" s="30" t="s">
        <v>63</v>
      </c>
      <c r="K4" s="30" t="s">
        <v>64</v>
      </c>
      <c r="L4" s="30" t="s">
        <v>65</v>
      </c>
      <c r="M4" s="30" t="s">
        <v>66</v>
      </c>
      <c r="N4" s="30" t="s">
        <v>67</v>
      </c>
      <c r="O4" s="30" t="s">
        <v>68</v>
      </c>
      <c r="P4" s="31" t="s">
        <v>69</v>
      </c>
      <c r="Q4" s="31" t="s">
        <v>70</v>
      </c>
      <c r="R4" s="32" t="s">
        <v>71</v>
      </c>
      <c r="S4" s="32" t="s">
        <v>72</v>
      </c>
      <c r="T4" s="32" t="s">
        <v>73</v>
      </c>
      <c r="U4" s="31" t="s">
        <v>74</v>
      </c>
      <c r="V4" s="31" t="s">
        <v>75</v>
      </c>
    </row>
    <row r="5" spans="1:22" ht="16.899999999999999" thickBot="1">
      <c r="A5" s="10" t="s">
        <v>13</v>
      </c>
    </row>
    <row r="6" spans="1:22" ht="42" customHeight="1" thickBot="1">
      <c r="C6" s="14" t="s">
        <v>76</v>
      </c>
      <c r="D6" s="29" t="s">
        <v>56</v>
      </c>
      <c r="E6" s="29" t="s">
        <v>57</v>
      </c>
      <c r="P6" s="31" t="s">
        <v>69</v>
      </c>
      <c r="Q6" s="31" t="s">
        <v>70</v>
      </c>
    </row>
    <row r="7" spans="1:22" ht="11.65" customHeight="1" thickBot="1">
      <c r="P7" s="31"/>
      <c r="Q7" s="31"/>
    </row>
    <row r="8" spans="1:22" ht="88.15" customHeight="1" thickBot="1">
      <c r="C8" s="14" t="s">
        <v>39</v>
      </c>
      <c r="E8" s="29" t="s">
        <v>57</v>
      </c>
      <c r="I8" s="30" t="s">
        <v>62</v>
      </c>
      <c r="J8" s="30" t="s">
        <v>63</v>
      </c>
      <c r="K8" s="30" t="s">
        <v>64</v>
      </c>
      <c r="L8" s="30" t="s">
        <v>65</v>
      </c>
      <c r="P8" s="31" t="s">
        <v>69</v>
      </c>
      <c r="Q8" s="31" t="s">
        <v>70</v>
      </c>
      <c r="R8" s="32" t="s">
        <v>71</v>
      </c>
      <c r="S8" s="32" t="s">
        <v>72</v>
      </c>
      <c r="T8" s="32" t="s">
        <v>73</v>
      </c>
      <c r="U8" s="31" t="s">
        <v>74</v>
      </c>
      <c r="V8" s="31" t="s">
        <v>75</v>
      </c>
    </row>
    <row r="10" spans="1:22" ht="16.899999999999999" thickBot="1">
      <c r="A10" s="10" t="s">
        <v>12</v>
      </c>
    </row>
    <row r="11" spans="1:22" ht="64.900000000000006" customHeight="1" thickBot="1">
      <c r="C11" s="14" t="s">
        <v>32</v>
      </c>
      <c r="I11" s="30" t="s">
        <v>62</v>
      </c>
      <c r="J11" s="30" t="s">
        <v>63</v>
      </c>
      <c r="L11" s="30" t="s">
        <v>65</v>
      </c>
      <c r="P11" s="31" t="s">
        <v>69</v>
      </c>
      <c r="Q11" s="31" t="s">
        <v>70</v>
      </c>
      <c r="R11" s="32" t="s">
        <v>71</v>
      </c>
      <c r="S11" s="32" t="s">
        <v>72</v>
      </c>
      <c r="T11" s="32" t="s">
        <v>73</v>
      </c>
      <c r="U11" s="31" t="s">
        <v>74</v>
      </c>
      <c r="V11" s="31" t="s">
        <v>75</v>
      </c>
    </row>
    <row r="13" spans="1:22" ht="16.899999999999999" thickBot="1">
      <c r="A13" s="10" t="s">
        <v>38</v>
      </c>
    </row>
    <row r="14" spans="1:22" ht="62.25" customHeight="1" thickBot="1">
      <c r="C14" s="14" t="s">
        <v>40</v>
      </c>
      <c r="I14" s="30" t="s">
        <v>62</v>
      </c>
      <c r="J14" s="30" t="s">
        <v>63</v>
      </c>
      <c r="L14" s="30" t="s">
        <v>65</v>
      </c>
      <c r="P14" s="31" t="s">
        <v>69</v>
      </c>
      <c r="T14" s="32" t="s">
        <v>73</v>
      </c>
      <c r="U14" s="31" t="s">
        <v>74</v>
      </c>
      <c r="V14" s="31" t="s">
        <v>75</v>
      </c>
    </row>
    <row r="16" spans="1:22" ht="16.899999999999999" thickBot="1">
      <c r="A16" s="10" t="s">
        <v>42</v>
      </c>
    </row>
    <row r="17" spans="3:22" ht="156.4" thickBot="1">
      <c r="C17" s="14" t="s">
        <v>87</v>
      </c>
      <c r="G17" s="29" t="s">
        <v>59</v>
      </c>
      <c r="I17" s="30" t="s">
        <v>62</v>
      </c>
      <c r="J17" s="30" t="s">
        <v>63</v>
      </c>
      <c r="L17" s="30" t="s">
        <v>65</v>
      </c>
      <c r="P17" s="31" t="s">
        <v>69</v>
      </c>
      <c r="T17" s="32" t="s">
        <v>73</v>
      </c>
      <c r="U17" s="31" t="s">
        <v>74</v>
      </c>
      <c r="V17" s="31" t="s">
        <v>75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tabSelected="1" zoomScale="85" zoomScaleNormal="85" workbookViewId="0">
      <selection activeCell="I10" sqref="I10:X1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/>
      <c r="D2" s="7" t="s">
        <v>11</v>
      </c>
    </row>
    <row r="4" spans="1:24" ht="15.4" thickBot="1">
      <c r="B4" s="1" t="s">
        <v>16</v>
      </c>
      <c r="I4" s="16" t="s">
        <v>2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s="4" customFormat="1" ht="35.25" customHeight="1" thickBot="1">
      <c r="C5" s="15" t="s">
        <v>46</v>
      </c>
      <c r="D5" s="20" t="s">
        <v>36</v>
      </c>
      <c r="E5" s="21"/>
      <c r="F5" s="21"/>
      <c r="G5" s="21"/>
      <c r="H5" s="22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5" t="s">
        <v>45</v>
      </c>
      <c r="D6" s="20" t="s">
        <v>9</v>
      </c>
      <c r="E6" s="21"/>
      <c r="F6" s="21"/>
      <c r="G6" s="21"/>
      <c r="H6" s="22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5" t="s">
        <v>34</v>
      </c>
      <c r="D7" s="20"/>
      <c r="E7" s="21"/>
      <c r="F7" s="21"/>
      <c r="G7" s="21"/>
      <c r="H7" s="22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5" t="s">
        <v>0</v>
      </c>
      <c r="D8" s="20" t="s">
        <v>27</v>
      </c>
      <c r="E8" s="21"/>
      <c r="F8" s="21"/>
      <c r="G8" s="21"/>
      <c r="H8" s="22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5" t="s">
        <v>44</v>
      </c>
      <c r="D9" s="20" t="s">
        <v>90</v>
      </c>
      <c r="E9" s="21"/>
      <c r="F9" s="21"/>
      <c r="G9" s="21"/>
      <c r="H9" s="22"/>
      <c r="I9" s="41" t="s">
        <v>92</v>
      </c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0"/>
    </row>
    <row r="10" spans="1:24" s="4" customFormat="1" ht="49.5" customHeight="1" thickBot="1">
      <c r="C10" s="15" t="s">
        <v>43</v>
      </c>
      <c r="D10" s="38" t="s">
        <v>89</v>
      </c>
      <c r="E10" s="39"/>
      <c r="F10" s="39"/>
      <c r="G10" s="39"/>
      <c r="H10" s="40"/>
      <c r="I10" s="41" t="s">
        <v>91</v>
      </c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0"/>
    </row>
    <row r="12" spans="1:24" ht="15.4" thickBot="1">
      <c r="B12" s="1" t="s">
        <v>17</v>
      </c>
      <c r="I12" s="16" t="s">
        <v>2</v>
      </c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8"/>
    </row>
    <row r="13" spans="1:24" s="4" customFormat="1" ht="32.65" customHeight="1" thickBot="1">
      <c r="C13" s="25" t="s">
        <v>5</v>
      </c>
      <c r="D13" s="26" t="s">
        <v>4</v>
      </c>
      <c r="E13" s="27"/>
      <c r="F13" s="27"/>
      <c r="G13" s="27"/>
      <c r="H13" s="28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25" t="s">
        <v>47</v>
      </c>
      <c r="D14" s="26" t="s">
        <v>10</v>
      </c>
      <c r="E14" s="27"/>
      <c r="F14" s="27"/>
      <c r="G14" s="27"/>
      <c r="H14" s="28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5" t="s">
        <v>48</v>
      </c>
      <c r="D15" s="26" t="s">
        <v>20</v>
      </c>
      <c r="E15" s="27"/>
      <c r="F15" s="27"/>
      <c r="G15" s="27"/>
      <c r="H15" s="28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5" t="s">
        <v>49</v>
      </c>
      <c r="D16" s="26" t="s">
        <v>82</v>
      </c>
      <c r="E16" s="27"/>
      <c r="F16" s="27"/>
      <c r="G16" s="27"/>
      <c r="H16" s="28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25" t="s">
        <v>19</v>
      </c>
      <c r="D17" s="23" t="s">
        <v>27</v>
      </c>
      <c r="E17" s="24"/>
      <c r="F17" s="24"/>
      <c r="G17" s="24"/>
      <c r="H17" s="22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25" t="s">
        <v>77</v>
      </c>
      <c r="D18" s="23" t="s">
        <v>25</v>
      </c>
      <c r="E18" s="24"/>
      <c r="F18" s="24"/>
      <c r="G18" s="24"/>
      <c r="H18" s="22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25" t="s">
        <v>31</v>
      </c>
      <c r="D19" s="26" t="s">
        <v>25</v>
      </c>
      <c r="E19" s="27"/>
      <c r="F19" s="27"/>
      <c r="G19" s="27"/>
      <c r="H19" s="28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6" t="s">
        <v>2</v>
      </c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8"/>
    </row>
    <row r="22" spans="1:24" ht="15.4" thickBot="1">
      <c r="B22" s="1" t="s">
        <v>18</v>
      </c>
      <c r="I22" s="11" t="s">
        <v>78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31" t="s">
        <v>22</v>
      </c>
      <c r="C23" s="31" t="s">
        <v>50</v>
      </c>
      <c r="D23" s="32" t="s">
        <v>51</v>
      </c>
      <c r="E23" s="32" t="s">
        <v>52</v>
      </c>
      <c r="F23" s="32" t="s">
        <v>53</v>
      </c>
      <c r="G23" s="31" t="s">
        <v>54</v>
      </c>
      <c r="H23" s="31" t="s">
        <v>55</v>
      </c>
      <c r="I23" s="19" t="s">
        <v>28</v>
      </c>
      <c r="J23" s="19" t="s">
        <v>29</v>
      </c>
      <c r="K23" s="19" t="s">
        <v>30</v>
      </c>
    </row>
    <row r="24" spans="1:24" s="4" customFormat="1" ht="12.4" thickBot="1">
      <c r="A24" s="4" t="s">
        <v>8</v>
      </c>
      <c r="B24" s="33" t="s">
        <v>79</v>
      </c>
      <c r="C24" s="34"/>
      <c r="D24" s="35" t="s">
        <v>8</v>
      </c>
      <c r="E24" s="35" t="s">
        <v>8</v>
      </c>
      <c r="F24" s="35" t="s">
        <v>3</v>
      </c>
      <c r="G24" s="36">
        <v>1</v>
      </c>
      <c r="H24" s="34" t="s">
        <v>88</v>
      </c>
      <c r="I24" s="5" t="str">
        <f t="shared" ref="I24:I43" si="0">"fe_" &amp; F24 &amp; "#" &amp; TEXT(G24,"00000")</f>
        <v>fe_PID_1#00001</v>
      </c>
      <c r="J24" s="5" t="str">
        <f t="shared" ref="J24:J43" si="1">"[COMMIT] " &amp; F24</f>
        <v>[COMMIT] PID_1</v>
      </c>
      <c r="K24" s="5" t="str">
        <f>"TAG-" &amp; "LO" &amp; D24 &amp; "-PH" &amp; E24 &amp; "-STEP" &amp; H24 &amp; "-" &amp;  F24</f>
        <v>TAG-LO1-PH1-STEP1.6-PID_1</v>
      </c>
      <c r="L24" s="4" t="s">
        <v>86</v>
      </c>
    </row>
    <row r="25" spans="1:24" s="4" customFormat="1" ht="12.4" thickBot="1">
      <c r="A25" s="4">
        <f>A24+1</f>
        <v>2</v>
      </c>
      <c r="B25" s="33"/>
      <c r="C25" s="34"/>
      <c r="D25" s="35"/>
      <c r="E25" s="35"/>
      <c r="F25" s="35"/>
      <c r="G25" s="36"/>
      <c r="H25" s="34"/>
      <c r="I25" s="5" t="str">
        <f t="shared" si="0"/>
        <v>fe_#00000</v>
      </c>
      <c r="J25" s="5" t="str">
        <f t="shared" si="1"/>
        <v xml:space="preserve">[COMMIT] </v>
      </c>
      <c r="K25" s="5" t="str">
        <f t="shared" ref="K25:K43" si="2">"TAG-" &amp; "LO" &amp; D25 &amp; "-PH" &amp; E25 &amp; "-STEP" &amp; H25 &amp; "-" &amp;  F25</f>
        <v>TAG-LO-PH-STEP-</v>
      </c>
    </row>
    <row r="26" spans="1:24" s="4" customFormat="1">
      <c r="A26" s="4">
        <f t="shared" ref="A26:A43" si="3">A25+1</f>
        <v>3</v>
      </c>
      <c r="B26" s="33"/>
      <c r="C26" s="34"/>
      <c r="D26" s="35"/>
      <c r="E26" s="35"/>
      <c r="F26" s="35"/>
      <c r="G26" s="36"/>
      <c r="H26" s="34"/>
      <c r="I26" s="5" t="str">
        <f t="shared" si="0"/>
        <v>fe_#00000</v>
      </c>
      <c r="J26" s="5" t="str">
        <f t="shared" si="1"/>
        <v xml:space="preserve">[COMMIT] </v>
      </c>
      <c r="K26" s="5" t="str">
        <f t="shared" si="2"/>
        <v>TAG-LO-PH-STEP-</v>
      </c>
    </row>
    <row r="27" spans="1:24" s="4" customFormat="1" ht="12.4" thickBot="1">
      <c r="A27" s="4">
        <f t="shared" si="3"/>
        <v>4</v>
      </c>
      <c r="B27" s="33"/>
      <c r="C27" s="34"/>
      <c r="D27" s="35"/>
      <c r="E27" s="35"/>
      <c r="F27" s="35"/>
      <c r="G27" s="36"/>
      <c r="H27" s="34"/>
      <c r="I27" s="5" t="str">
        <f t="shared" ref="I27:I28" si="4">"fe_" &amp; F27 &amp; "#" &amp; TEXT(G27,"00000")</f>
        <v>fe_#00000</v>
      </c>
      <c r="J27" s="5" t="str">
        <f t="shared" ref="J27:J28" si="5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3"/>
        <v>5</v>
      </c>
      <c r="B28" s="33"/>
      <c r="C28" s="34"/>
      <c r="D28" s="35"/>
      <c r="E28" s="35"/>
      <c r="F28" s="35"/>
      <c r="G28" s="36"/>
      <c r="H28" s="34"/>
      <c r="I28" s="5" t="str">
        <f t="shared" si="4"/>
        <v>fe_#00000</v>
      </c>
      <c r="J28" s="5" t="str">
        <f t="shared" si="5"/>
        <v xml:space="preserve">[COMMIT] </v>
      </c>
      <c r="K28" s="5" t="str">
        <f t="shared" ref="K28" si="6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3"/>
        <v>6</v>
      </c>
      <c r="B29" s="33"/>
      <c r="C29" s="34"/>
      <c r="D29" s="35"/>
      <c r="E29" s="35"/>
      <c r="F29" s="35"/>
      <c r="G29" s="36"/>
      <c r="H29" s="34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7</v>
      </c>
      <c r="B30" s="33"/>
      <c r="C30" s="34"/>
      <c r="D30" s="35"/>
      <c r="E30" s="35"/>
      <c r="F30" s="35"/>
      <c r="G30" s="36"/>
      <c r="H30" s="34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8</v>
      </c>
      <c r="B31" s="33"/>
      <c r="C31" s="34"/>
      <c r="D31" s="35"/>
      <c r="E31" s="35"/>
      <c r="F31" s="35"/>
      <c r="G31" s="36"/>
      <c r="H31" s="34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9</v>
      </c>
      <c r="B32" s="33"/>
      <c r="C32" s="34"/>
      <c r="D32" s="35"/>
      <c r="E32" s="35"/>
      <c r="F32" s="35"/>
      <c r="G32" s="36"/>
      <c r="H32" s="34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2" s="4" customFormat="1" ht="12.4" thickBot="1">
      <c r="A33" s="4">
        <f t="shared" si="3"/>
        <v>10</v>
      </c>
      <c r="B33" s="33"/>
      <c r="C33" s="34"/>
      <c r="D33" s="35"/>
      <c r="E33" s="35"/>
      <c r="F33" s="35"/>
      <c r="G33" s="36"/>
      <c r="H33" s="34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2" s="4" customFormat="1" ht="12.4" thickBot="1">
      <c r="A34" s="4">
        <f t="shared" si="3"/>
        <v>11</v>
      </c>
      <c r="B34" s="33"/>
      <c r="C34" s="34"/>
      <c r="D34" s="35"/>
      <c r="E34" s="35"/>
      <c r="F34" s="35"/>
      <c r="G34" s="36"/>
      <c r="H34" s="34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2" s="4" customFormat="1" ht="12.4" thickBot="1">
      <c r="A35" s="4">
        <f t="shared" si="3"/>
        <v>12</v>
      </c>
      <c r="B35" s="33"/>
      <c r="C35" s="34"/>
      <c r="D35" s="35"/>
      <c r="E35" s="35"/>
      <c r="F35" s="35"/>
      <c r="G35" s="36"/>
      <c r="H35" s="34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2" s="4" customFormat="1" ht="12.4" thickBot="1">
      <c r="A36" s="4">
        <f t="shared" si="3"/>
        <v>13</v>
      </c>
      <c r="B36" s="33"/>
      <c r="C36" s="34"/>
      <c r="D36" s="35"/>
      <c r="E36" s="35"/>
      <c r="F36" s="35"/>
      <c r="G36" s="36"/>
      <c r="H36" s="34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2" s="4" customFormat="1" ht="12.4" thickBot="1">
      <c r="A37" s="4">
        <f t="shared" si="3"/>
        <v>14</v>
      </c>
      <c r="B37" s="33"/>
      <c r="C37" s="34"/>
      <c r="D37" s="35"/>
      <c r="E37" s="35"/>
      <c r="F37" s="35"/>
      <c r="G37" s="36"/>
      <c r="H37" s="34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2" s="4" customFormat="1" ht="12.4" thickBot="1">
      <c r="A38" s="4">
        <f t="shared" si="3"/>
        <v>15</v>
      </c>
      <c r="B38" s="33"/>
      <c r="C38" s="34"/>
      <c r="D38" s="35"/>
      <c r="E38" s="35"/>
      <c r="F38" s="35"/>
      <c r="G38" s="36"/>
      <c r="H38" s="34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2" s="4" customFormat="1" ht="12.4" thickBot="1">
      <c r="A39" s="4">
        <f t="shared" si="3"/>
        <v>16</v>
      </c>
      <c r="B39" s="33" t="s">
        <v>79</v>
      </c>
      <c r="C39" s="34" t="s">
        <v>26</v>
      </c>
      <c r="D39" s="35"/>
      <c r="E39" s="35"/>
      <c r="F39" s="35"/>
      <c r="G39" s="36"/>
      <c r="H39" s="34"/>
      <c r="I39" s="5" t="str">
        <f t="shared" ref="I39:I42" si="7">"fe_" &amp; F39 &amp; "#" &amp; TEXT(G39,"00000")</f>
        <v>fe_#00000</v>
      </c>
      <c r="J39" s="5" t="str">
        <f t="shared" ref="J39:J42" si="8">"[COMMIT] " &amp; F39</f>
        <v xml:space="preserve">[COMMIT] </v>
      </c>
      <c r="K39" s="5" t="str">
        <f>"TAG-" &amp; "LO" &amp; D39 &amp; "-PH" &amp; E39 &amp; "-STEP" &amp; H39 &amp; "-" &amp;  F39</f>
        <v>TAG-LO-PH-STEP-</v>
      </c>
      <c r="L39" s="4" t="s">
        <v>80</v>
      </c>
    </row>
    <row r="40" spans="1:12" s="4" customFormat="1" ht="12.4" thickBot="1">
      <c r="A40" s="4">
        <f t="shared" si="3"/>
        <v>17</v>
      </c>
      <c r="B40" s="33" t="s">
        <v>79</v>
      </c>
      <c r="C40" s="34" t="s">
        <v>26</v>
      </c>
      <c r="D40" s="35" t="s">
        <v>8</v>
      </c>
      <c r="E40" s="35" t="s">
        <v>8</v>
      </c>
      <c r="F40" s="35" t="s">
        <v>3</v>
      </c>
      <c r="G40" s="36">
        <v>1</v>
      </c>
      <c r="H40" s="34">
        <v>1.1000000000000001</v>
      </c>
      <c r="I40" s="5" t="str">
        <f t="shared" si="7"/>
        <v>fe_PID_1#00001</v>
      </c>
      <c r="J40" s="5" t="str">
        <f t="shared" si="8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81</v>
      </c>
    </row>
    <row r="41" spans="1:12" s="4" customFormat="1" ht="12.4" thickBot="1">
      <c r="A41" s="4">
        <f t="shared" si="3"/>
        <v>18</v>
      </c>
      <c r="B41" s="33" t="s">
        <v>79</v>
      </c>
      <c r="C41" s="34" t="s">
        <v>26</v>
      </c>
      <c r="D41" s="35" t="s">
        <v>8</v>
      </c>
      <c r="E41" s="35" t="s">
        <v>8</v>
      </c>
      <c r="F41" s="35" t="s">
        <v>3</v>
      </c>
      <c r="G41" s="36">
        <v>1</v>
      </c>
      <c r="H41" s="34">
        <v>1.1000000000000001</v>
      </c>
      <c r="I41" s="5" t="str">
        <f t="shared" si="7"/>
        <v>fe_PID_1#00001</v>
      </c>
      <c r="J41" s="5" t="str">
        <f t="shared" si="8"/>
        <v>[COMMIT] PID_1</v>
      </c>
      <c r="K41" s="5" t="str">
        <f>"TAG-" &amp; "LO" &amp; D41 &amp; "-PH" &amp; E41 &amp; "-STEP" &amp; H41 &amp; "-" &amp;  F41</f>
        <v>TAG-LO1-PH1-STEP1.1-PID_1</v>
      </c>
      <c r="L41" s="4" t="s">
        <v>83</v>
      </c>
    </row>
    <row r="42" spans="1:12" s="4" customFormat="1" ht="12.4" thickBot="1">
      <c r="A42" s="4">
        <f t="shared" si="3"/>
        <v>19</v>
      </c>
      <c r="B42" s="33" t="s">
        <v>79</v>
      </c>
      <c r="C42" s="34"/>
      <c r="D42" s="35" t="s">
        <v>8</v>
      </c>
      <c r="E42" s="35" t="s">
        <v>8</v>
      </c>
      <c r="F42" s="35" t="s">
        <v>3</v>
      </c>
      <c r="G42" s="36">
        <v>1</v>
      </c>
      <c r="H42" s="34" t="s">
        <v>84</v>
      </c>
      <c r="I42" s="5" t="str">
        <f t="shared" si="7"/>
        <v>fe_PID_1#00001</v>
      </c>
      <c r="J42" s="5" t="str">
        <f t="shared" si="8"/>
        <v>[COMMIT] PID_1</v>
      </c>
      <c r="K42" s="5" t="str">
        <f>"TAG-" &amp; "LO" &amp; D42 &amp; "-PH" &amp; E42 &amp; "-STEP" &amp; H42 &amp; "-" &amp;  F42</f>
        <v>TAG-LO1-PH1-STEP1.5-PID_1</v>
      </c>
      <c r="L42" s="4" t="s">
        <v>85</v>
      </c>
    </row>
    <row r="43" spans="1:12" s="4" customFormat="1" ht="12.4" thickBot="1">
      <c r="A43" s="4">
        <f t="shared" si="3"/>
        <v>20</v>
      </c>
      <c r="B43" s="33" t="s">
        <v>79</v>
      </c>
      <c r="C43" s="34"/>
      <c r="D43" s="35" t="s">
        <v>8</v>
      </c>
      <c r="E43" s="35" t="s">
        <v>8</v>
      </c>
      <c r="F43" s="35" t="s">
        <v>3</v>
      </c>
      <c r="G43" s="36">
        <v>1</v>
      </c>
      <c r="H43" s="34" t="s">
        <v>88</v>
      </c>
      <c r="I43" s="5" t="str">
        <f t="shared" si="0"/>
        <v>fe_PID_1#00001</v>
      </c>
      <c r="J43" s="5" t="str">
        <f t="shared" si="1"/>
        <v>[COMMIT] PID_1</v>
      </c>
      <c r="K43" s="5" t="str">
        <f t="shared" si="2"/>
        <v>TAG-LO1-PH1-STEP1.6-PID_1</v>
      </c>
      <c r="L43" s="4" t="s">
        <v>86</v>
      </c>
    </row>
  </sheetData>
  <mergeCells count="15">
    <mergeCell ref="D9:H9"/>
    <mergeCell ref="D10:H10"/>
    <mergeCell ref="I10:X10"/>
    <mergeCell ref="I9:X9"/>
    <mergeCell ref="D19:H19"/>
    <mergeCell ref="D15:H15"/>
    <mergeCell ref="D16:H16"/>
    <mergeCell ref="D17:H17"/>
    <mergeCell ref="D18:H18"/>
    <mergeCell ref="D5:H5"/>
    <mergeCell ref="D6:H6"/>
    <mergeCell ref="D8:H8"/>
    <mergeCell ref="D13:H13"/>
    <mergeCell ref="D14:H14"/>
    <mergeCell ref="D7:H7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3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V5"/>
  <sheetViews>
    <sheetView showGridLines="0" zoomScaleNormal="100" workbookViewId="0">
      <selection activeCell="N8" sqref="N8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37"/>
    <col min="23" max="16384" width="3.5625" style="8"/>
  </cols>
  <sheetData>
    <row r="1" spans="1:22" ht="22.15">
      <c r="A1" s="9" t="s">
        <v>21</v>
      </c>
    </row>
    <row r="2" spans="1:22">
      <c r="D2" s="6" t="s">
        <v>61</v>
      </c>
    </row>
    <row r="3" spans="1:22" ht="22.9" customHeight="1" thickBot="1">
      <c r="B3" s="6"/>
      <c r="C3" s="6"/>
      <c r="D3" s="29" t="s">
        <v>56</v>
      </c>
      <c r="E3" s="29" t="s">
        <v>57</v>
      </c>
      <c r="F3" s="29" t="s">
        <v>58</v>
      </c>
      <c r="G3" s="29" t="s">
        <v>59</v>
      </c>
      <c r="H3" s="29" t="s">
        <v>60</v>
      </c>
      <c r="I3" s="30" t="s">
        <v>62</v>
      </c>
      <c r="J3" s="30" t="s">
        <v>63</v>
      </c>
      <c r="K3" s="30" t="s">
        <v>64</v>
      </c>
      <c r="L3" s="30" t="s">
        <v>65</v>
      </c>
      <c r="M3" s="30" t="s">
        <v>66</v>
      </c>
      <c r="N3" s="30" t="s">
        <v>67</v>
      </c>
      <c r="O3" s="30" t="s">
        <v>68</v>
      </c>
      <c r="P3" s="31" t="s">
        <v>69</v>
      </c>
      <c r="Q3" s="31" t="s">
        <v>70</v>
      </c>
      <c r="R3" s="32" t="s">
        <v>71</v>
      </c>
      <c r="S3" s="32" t="s">
        <v>72</v>
      </c>
      <c r="T3" s="32" t="s">
        <v>73</v>
      </c>
      <c r="U3" s="31" t="s">
        <v>74</v>
      </c>
      <c r="V3" s="31" t="s">
        <v>75</v>
      </c>
    </row>
    <row r="4" spans="1:22" ht="88.15" customHeight="1" thickBot="1">
      <c r="I4" s="30" t="s">
        <v>62</v>
      </c>
      <c r="J4" s="30" t="s">
        <v>63</v>
      </c>
      <c r="L4" s="30" t="s">
        <v>65</v>
      </c>
      <c r="P4" s="31" t="s">
        <v>69</v>
      </c>
      <c r="T4" s="32" t="s">
        <v>73</v>
      </c>
      <c r="U4" s="31" t="s">
        <v>74</v>
      </c>
    </row>
    <row r="5" spans="1:22" ht="78" customHeight="1" thickBot="1">
      <c r="I5" s="30" t="s">
        <v>62</v>
      </c>
      <c r="J5" s="30" t="s">
        <v>63</v>
      </c>
      <c r="L5" s="30" t="s">
        <v>65</v>
      </c>
      <c r="P5" s="31" t="s">
        <v>69</v>
      </c>
      <c r="T5" s="32" t="s">
        <v>73</v>
      </c>
      <c r="U5" s="31" t="s">
        <v>74</v>
      </c>
      <c r="V5" s="31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3</xdr:row>
                    <xdr:rowOff>461963</xdr:rowOff>
                  </from>
                  <to>
                    <xdr:col>2</xdr:col>
                    <xdr:colOff>1290638</xdr:colOff>
                    <xdr:row>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4</xdr:row>
                    <xdr:rowOff>371475</xdr:rowOff>
                  </from>
                  <to>
                    <xdr:col>2</xdr:col>
                    <xdr:colOff>1309688</xdr:colOff>
                    <xdr:row>4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2023-09-10T11:27:02Z</dcterms:modified>
</cp:coreProperties>
</file>