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AutoWorker\Worker01\"/>
    </mc:Choice>
  </mc:AlternateContent>
  <xr:revisionPtr revIDLastSave="0" documentId="13_ncr:1_{8D24C8A0-160F-472A-9A77-465455F496E3}" xr6:coauthVersionLast="47" xr6:coauthVersionMax="47" xr10:uidLastSave="{00000000-0000-0000-0000-000000000000}"/>
  <bookViews>
    <workbookView xWindow="0" yWindow="0" windowWidth="5550" windowHeight="7740" xr2:uid="{00000000-000D-0000-FFFF-FFFF00000000}"/>
  </bookViews>
  <sheets>
    <sheet name="Worker01" sheetId="1" r:id="rId1"/>
    <sheet name="Sheet1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1" l="1"/>
  <c r="B23" i="1" s="1"/>
  <c r="B24" i="1" s="1"/>
  <c r="B25" i="1" s="1"/>
  <c r="B26" i="1" s="1"/>
  <c r="B27" i="1" s="1"/>
  <c r="B28" i="1" s="1"/>
  <c r="B29" i="1" s="1"/>
  <c r="B30" i="1" s="1"/>
  <c r="B31" i="1" s="1"/>
  <c r="B32" i="1" s="1"/>
  <c r="B33" i="1" s="1"/>
  <c r="B34" i="1" s="1"/>
  <c r="B35" i="1" s="1"/>
  <c r="B36" i="1" s="1"/>
  <c r="B37" i="1" s="1"/>
  <c r="B38" i="1" s="1"/>
  <c r="B39" i="1" s="1"/>
  <c r="B40" i="1" s="1"/>
  <c r="H40" i="1"/>
  <c r="G40" i="1"/>
  <c r="F40" i="1"/>
  <c r="H39" i="1"/>
  <c r="G39" i="1"/>
  <c r="F39" i="1"/>
  <c r="H38" i="1"/>
  <c r="G38" i="1"/>
  <c r="F38" i="1"/>
  <c r="H37" i="1"/>
  <c r="G37" i="1"/>
  <c r="F37" i="1"/>
  <c r="H36" i="1"/>
  <c r="G36" i="1"/>
  <c r="F36" i="1"/>
  <c r="H35" i="1"/>
  <c r="G35" i="1"/>
  <c r="F35" i="1"/>
  <c r="H34" i="1"/>
  <c r="G34" i="1"/>
  <c r="F34" i="1"/>
  <c r="H33" i="1"/>
  <c r="G33" i="1"/>
  <c r="F33" i="1"/>
  <c r="H32" i="1"/>
  <c r="G32" i="1"/>
  <c r="F32" i="1"/>
  <c r="H31" i="1"/>
  <c r="G31" i="1"/>
  <c r="F31" i="1"/>
  <c r="H30" i="1"/>
  <c r="G30" i="1"/>
  <c r="F30" i="1"/>
  <c r="H29" i="1"/>
  <c r="G29" i="1"/>
  <c r="F29" i="1"/>
  <c r="H28" i="1"/>
  <c r="G28" i="1"/>
  <c r="F28" i="1"/>
  <c r="H27" i="1"/>
  <c r="G27" i="1"/>
  <c r="F27" i="1"/>
  <c r="H26" i="1"/>
  <c r="G26" i="1"/>
  <c r="F26" i="1"/>
  <c r="H25" i="1"/>
  <c r="G25" i="1"/>
  <c r="F25" i="1"/>
  <c r="H24" i="1"/>
  <c r="G24" i="1"/>
  <c r="F24" i="1"/>
  <c r="H23" i="1"/>
  <c r="G23" i="1"/>
  <c r="F23" i="1"/>
  <c r="H22" i="1"/>
  <c r="H21" i="1"/>
  <c r="G22" i="1"/>
  <c r="G21" i="1"/>
  <c r="F22" i="1"/>
  <c r="F21" i="1"/>
</calcChain>
</file>

<file path=xl/sharedStrings.xml><?xml version="1.0" encoding="utf-8"?>
<sst xmlns="http://schemas.openxmlformats.org/spreadsheetml/2006/main" count="46" uniqueCount="43">
  <si>
    <t>デバッグログ出力</t>
    <phoneticPr fontId="1"/>
  </si>
  <si>
    <t>末尾に"\"禁止。存在しない場合は作成する。</t>
    <rPh sb="0" eb="2">
      <t>マツビ</t>
    </rPh>
    <rPh sb="6" eb="8">
      <t>キンシ</t>
    </rPh>
    <rPh sb="9" eb="11">
      <t>ソンザイ</t>
    </rPh>
    <rPh sb="14" eb="16">
      <t>バアイ</t>
    </rPh>
    <rPh sb="17" eb="19">
      <t>サクセイ</t>
    </rPh>
    <phoneticPr fontId="1"/>
  </si>
  <si>
    <t>memo</t>
    <phoneticPr fontId="1"/>
  </si>
  <si>
    <t>複数可。空行が見つかるまで探索。</t>
    <phoneticPr fontId="1"/>
  </si>
  <si>
    <t>未指定の場合は出力しない。</t>
    <rPh sb="0" eb="3">
      <t>ミシテイ</t>
    </rPh>
    <rPh sb="4" eb="6">
      <t>バアイ</t>
    </rPh>
    <rPh sb="7" eb="9">
      <t>シュツリョク</t>
    </rPh>
    <phoneticPr fontId="1"/>
  </si>
  <si>
    <t>C:\_git\PublicMemo\VBA\VBプロジェクトコレクター\VBProjCollector.xlsm</t>
    <phoneticPr fontId="1"/>
  </si>
  <si>
    <t>★=必須</t>
    <rPh sb="2" eb="4">
      <t>ヒッス</t>
    </rPh>
    <phoneticPr fontId="1"/>
  </si>
  <si>
    <t>PID_1</t>
    <phoneticPr fontId="1"/>
  </si>
  <si>
    <t>PID_2</t>
    <phoneticPr fontId="1"/>
  </si>
  <si>
    <t>develop</t>
    <phoneticPr fontId="1"/>
  </si>
  <si>
    <t>Worker01</t>
    <phoneticPr fontId="1"/>
  </si>
  <si>
    <t>https://github.com/mtk57/GIT_0020</t>
    <phoneticPr fontId="1"/>
  </si>
  <si>
    <t>①外部ツールファイルパス(絶対パス) ★</t>
    <phoneticPr fontId="1"/>
  </si>
  <si>
    <t>②VBプロジェクトファイルを収集するフォルダパス(絶対パス) ★</t>
    <rPh sb="14" eb="16">
      <t>シュウシュウ</t>
    </rPh>
    <phoneticPr fontId="1"/>
  </si>
  <si>
    <t>(A)GitリポジトリURL</t>
    <phoneticPr fontId="1"/>
  </si>
  <si>
    <t>(B)Gitフォルダパス(絶対パス) ★</t>
    <phoneticPr fontId="1"/>
  </si>
  <si>
    <t>[Common] Param</t>
    <phoneticPr fontId="1"/>
  </si>
  <si>
    <t>[Git] Param</t>
    <phoneticPr fontId="1"/>
  </si>
  <si>
    <t>[Target] Param</t>
    <phoneticPr fontId="1"/>
  </si>
  <si>
    <t>オフへのインプット作業支援</t>
    <rPh sb="9" eb="11">
      <t>サギョウ</t>
    </rPh>
    <rPh sb="11" eb="13">
      <t>シエン</t>
    </rPh>
    <phoneticPr fontId="1"/>
  </si>
  <si>
    <t>黄色セルは式が入っているので変更しないこと</t>
    <rPh sb="0" eb="2">
      <t>キイロ</t>
    </rPh>
    <rPh sb="5" eb="6">
      <t>シキ</t>
    </rPh>
    <rPh sb="7" eb="8">
      <t>ハイ</t>
    </rPh>
    <rPh sb="14" eb="16">
      <t>ヘンコウ</t>
    </rPh>
    <phoneticPr fontId="1"/>
  </si>
  <si>
    <t>(D)ベースブランチ名 ★</t>
    <rPh sb="10" eb="11">
      <t>メイ</t>
    </rPh>
    <phoneticPr fontId="1"/>
  </si>
  <si>
    <t>(C)起点フォルダ名★</t>
    <rPh sb="3" eb="5">
      <t>キテン</t>
    </rPh>
    <rPh sb="9" eb="10">
      <t>メイ</t>
    </rPh>
    <phoneticPr fontId="1"/>
  </si>
  <si>
    <t>未指定の場合はクローン済とみなす。</t>
    <rPh sb="0" eb="3">
      <t>ミシテイ</t>
    </rPh>
    <rPh sb="4" eb="6">
      <t>バアイ</t>
    </rPh>
    <rPh sb="11" eb="12">
      <t>スミ</t>
    </rPh>
    <phoneticPr fontId="1"/>
  </si>
  <si>
    <t>②から(C)のフォルダ配下を(B)にコピーする。</t>
    <rPh sb="11" eb="13">
      <t>ハイカ</t>
    </rPh>
    <phoneticPr fontId="1"/>
  </si>
  <si>
    <t>NO</t>
  </si>
  <si>
    <t>1</t>
    <phoneticPr fontId="1"/>
  </si>
  <si>
    <t>1.[Target]のVBプロジェクトファイル(C20～C39)を②のフォルダに収集する。</t>
    <rPh sb="40" eb="42">
      <t>シュウシュウ</t>
    </rPh>
    <phoneticPr fontId="1"/>
  </si>
  <si>
    <t>C:\_tmp\Worker01_wk</t>
    <phoneticPr fontId="1"/>
  </si>
  <si>
    <t>Zerosrc</t>
    <phoneticPr fontId="1"/>
  </si>
  <si>
    <t>YES</t>
  </si>
  <si>
    <t>C:\_git_wk\GIT_0020</t>
    <phoneticPr fontId="1"/>
  </si>
  <si>
    <t>C:\_git_wk\GIT_0010\SRC_010\Zerosrc\DownSizing\testA\testA.vbp</t>
    <phoneticPr fontId="1"/>
  </si>
  <si>
    <t>C:\_git_wk\GIT_0010\SRC_010\Zerosrc\Other\testB\testB.vbproj</t>
    <phoneticPr fontId="1"/>
  </si>
  <si>
    <t>(1)VBプロジェクトファイルの絶対パス　★</t>
    <rPh sb="16" eb="18">
      <t>ゼッタイ</t>
    </rPh>
    <phoneticPr fontId="1"/>
  </si>
  <si>
    <t>(2)PID　★</t>
    <phoneticPr fontId="1"/>
  </si>
  <si>
    <t>(3)Redmine#　★</t>
    <phoneticPr fontId="1"/>
  </si>
  <si>
    <t>(4)Branch</t>
    <phoneticPr fontId="1"/>
  </si>
  <si>
    <t>(5)Commit</t>
    <phoneticPr fontId="1"/>
  </si>
  <si>
    <t>(6)Tag</t>
    <phoneticPr fontId="1"/>
  </si>
  <si>
    <t>(E)(4)が存在した場合は削除する</t>
    <rPh sb="7" eb="9">
      <t>ソンザイ</t>
    </rPh>
    <rPh sb="11" eb="13">
      <t>バアイ</t>
    </rPh>
    <rPh sb="14" eb="16">
      <t>サク</t>
    </rPh>
    <phoneticPr fontId="1"/>
  </si>
  <si>
    <t>1.(B)に(A)をクローンする。
2.(C)にスイッチする。
3.(4)ブランチを作成する。
4.②のフォルダをコピーして(5)コミットする。(コピーは②\(C)配下を(B)\(C)にコピーするので注意)
5.(6)タグをつけてプッシュする。
6.2～5を[Target]の行数分繰り返す。</t>
    <rPh sb="42" eb="44">
      <t>サクセイ</t>
    </rPh>
    <rPh sb="82" eb="84">
      <t>ハイカ</t>
    </rPh>
    <rPh sb="100" eb="102">
      <t>チュウイ</t>
    </rPh>
    <rPh sb="138" eb="140">
      <t>ギョウスウ</t>
    </rPh>
    <rPh sb="140" eb="141">
      <t>ブン</t>
    </rPh>
    <rPh sb="141" eb="142">
      <t>ク</t>
    </rPh>
    <rPh sb="143" eb="144">
      <t>カエ</t>
    </rPh>
    <phoneticPr fontId="1"/>
  </si>
  <si>
    <r>
      <t>ver.</t>
    </r>
    <r>
      <rPr>
        <b/>
        <sz val="11"/>
        <color theme="1"/>
        <rFont val="Meiryo UI"/>
        <family val="3"/>
        <charset val="128"/>
      </rPr>
      <t>0.8.0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</si>
</sst>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"/>
  </numFmts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sz val="9"/>
      <color theme="1"/>
      <name val="Meiryo UI"/>
      <family val="3"/>
      <charset val="128"/>
    </font>
    <font>
      <sz val="9"/>
      <color theme="1"/>
      <name val="Yu Gothic"/>
      <family val="2"/>
      <scheme val="minor"/>
    </font>
    <font>
      <sz val="9"/>
      <color rgb="FF000000"/>
      <name val="Yu Gothic"/>
      <family val="3"/>
      <charset val="128"/>
    </font>
    <font>
      <b/>
      <u/>
      <sz val="11"/>
      <color theme="1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9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CFFFF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3" fillId="3" borderId="2" xfId="0" applyNumberFormat="1" applyFont="1" applyFill="1" applyBorder="1" applyAlignment="1">
      <alignment horizontal="left" vertical="center"/>
    </xf>
    <xf numFmtId="49" fontId="3" fillId="3" borderId="3" xfId="0" applyNumberFormat="1" applyFont="1" applyFill="1" applyBorder="1" applyAlignment="1">
      <alignment horizontal="left" vertical="center"/>
    </xf>
    <xf numFmtId="49" fontId="3" fillId="3" borderId="6" xfId="0" applyNumberFormat="1" applyFont="1" applyFill="1" applyBorder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49" fontId="9" fillId="0" borderId="0" xfId="0" applyNumberFormat="1" applyFont="1" applyAlignment="1">
      <alignment horizontal="left" vertical="center"/>
    </xf>
    <xf numFmtId="0" fontId="6" fillId="0" borderId="10" xfId="0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 wrapText="1"/>
    </xf>
    <xf numFmtId="49" fontId="5" fillId="0" borderId="2" xfId="0" applyNumberFormat="1" applyFont="1" applyBorder="1" applyAlignment="1">
      <alignment horizontal="left" vertical="center"/>
    </xf>
    <xf numFmtId="49" fontId="5" fillId="0" borderId="3" xfId="0" applyNumberFormat="1" applyFont="1" applyBorder="1" applyAlignment="1">
      <alignment horizontal="left" vertical="center"/>
    </xf>
    <xf numFmtId="49" fontId="5" fillId="0" borderId="6" xfId="0" applyNumberFormat="1" applyFont="1" applyBorder="1" applyAlignment="1">
      <alignment horizontal="left" vertical="center"/>
    </xf>
    <xf numFmtId="49" fontId="5" fillId="2" borderId="2" xfId="0" applyNumberFormat="1" applyFont="1" applyFill="1" applyBorder="1" applyAlignment="1">
      <alignment horizontal="left" vertical="center"/>
    </xf>
    <xf numFmtId="49" fontId="5" fillId="2" borderId="1" xfId="0" applyNumberFormat="1" applyFont="1" applyFill="1" applyBorder="1" applyAlignment="1">
      <alignment horizontal="left" vertical="center"/>
    </xf>
    <xf numFmtId="49" fontId="5" fillId="2" borderId="8" xfId="0" applyNumberFormat="1" applyFont="1" applyFill="1" applyBorder="1" applyAlignment="1">
      <alignment horizontal="left" vertical="center"/>
    </xf>
    <xf numFmtId="49" fontId="10" fillId="5" borderId="8" xfId="0" applyNumberFormat="1" applyFont="1" applyFill="1" applyBorder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/>
    </xf>
    <xf numFmtId="49" fontId="5" fillId="6" borderId="7" xfId="0" applyNumberFormat="1" applyFont="1" applyFill="1" applyBorder="1" applyAlignment="1">
      <alignment horizontal="left" vertical="center"/>
    </xf>
    <xf numFmtId="176" fontId="5" fillId="6" borderId="4" xfId="0" applyNumberFormat="1" applyFont="1" applyFill="1" applyBorder="1" applyAlignment="1">
      <alignment horizontal="left" vertical="center"/>
    </xf>
    <xf numFmtId="0" fontId="5" fillId="4" borderId="7" xfId="0" applyFont="1" applyFill="1" applyBorder="1" applyAlignment="1">
      <alignment horizontal="left" vertical="center"/>
    </xf>
    <xf numFmtId="49" fontId="5" fillId="6" borderId="4" xfId="0" applyNumberFormat="1" applyFont="1" applyFill="1" applyBorder="1" applyAlignment="1">
      <alignment horizontal="left" vertical="center" wrapText="1"/>
    </xf>
    <xf numFmtId="0" fontId="6" fillId="6" borderId="5" xfId="0" applyFont="1" applyFill="1" applyBorder="1" applyAlignment="1">
      <alignment horizontal="left" vertical="center" wrapText="1"/>
    </xf>
    <xf numFmtId="49" fontId="5" fillId="0" borderId="4" xfId="0" applyNumberFormat="1" applyFont="1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128588</xdr:colOff>
          <xdr:row>2</xdr:row>
          <xdr:rowOff>180975</xdr:rowOff>
        </xdr:from>
        <xdr:to>
          <xdr:col>1</xdr:col>
          <xdr:colOff>290513</xdr:colOff>
          <xdr:row>3</xdr:row>
          <xdr:rowOff>500063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4</xdr:row>
          <xdr:rowOff>276225</xdr:rowOff>
        </xdr:from>
        <xdr:to>
          <xdr:col>1</xdr:col>
          <xdr:colOff>276225</xdr:colOff>
          <xdr:row>4</xdr:row>
          <xdr:rowOff>800100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9436" rIns="45720" bIns="5943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 002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U40"/>
  <sheetViews>
    <sheetView showGridLines="0" tabSelected="1" zoomScale="130" zoomScaleNormal="130" workbookViewId="0">
      <selection activeCell="B3" sqref="B3"/>
    </sheetView>
  </sheetViews>
  <sheetFormatPr defaultColWidth="3.5625" defaultRowHeight="15"/>
  <cols>
    <col min="1" max="1" width="3.5625" style="2"/>
    <col min="2" max="2" width="4.5" style="2" customWidth="1"/>
    <col min="3" max="3" width="27.5" style="2" customWidth="1"/>
    <col min="4" max="4" width="15.3125" style="2" customWidth="1"/>
    <col min="5" max="5" width="13.5" style="2" customWidth="1"/>
    <col min="6" max="6" width="16.8125" style="2" bestFit="1" customWidth="1"/>
    <col min="7" max="7" width="16.625" style="2" bestFit="1" customWidth="1"/>
    <col min="8" max="8" width="12.625" style="2" bestFit="1" customWidth="1"/>
    <col min="9" max="9" width="5.9375" style="2" customWidth="1"/>
    <col min="10" max="16384" width="3.5625" style="2"/>
  </cols>
  <sheetData>
    <row r="1" spans="1:21" ht="22.15">
      <c r="A1" s="3" t="s">
        <v>10</v>
      </c>
      <c r="D1" s="7" t="s">
        <v>19</v>
      </c>
    </row>
    <row r="2" spans="1:21">
      <c r="B2" s="2" t="s">
        <v>42</v>
      </c>
    </row>
    <row r="3" spans="1:21" ht="15.4" thickBot="1"/>
    <row r="4" spans="1:21" ht="42" customHeight="1" thickBot="1">
      <c r="C4" s="26" t="s">
        <v>27</v>
      </c>
      <c r="D4" s="27"/>
      <c r="E4" s="28"/>
      <c r="F4" s="9"/>
      <c r="G4" s="10"/>
    </row>
    <row r="5" spans="1:21" ht="88.15" customHeight="1" thickBot="1">
      <c r="C5" s="26" t="s">
        <v>41</v>
      </c>
      <c r="D5" s="27"/>
      <c r="E5" s="28"/>
      <c r="F5" s="9"/>
      <c r="G5" s="10"/>
    </row>
    <row r="6" spans="1:21">
      <c r="J6" s="2" t="s">
        <v>6</v>
      </c>
    </row>
    <row r="7" spans="1:21" ht="15.4" thickBot="1">
      <c r="B7" s="1" t="s">
        <v>16</v>
      </c>
      <c r="J7" s="4" t="s">
        <v>2</v>
      </c>
      <c r="K7" s="5"/>
      <c r="L7" s="5"/>
      <c r="M7" s="5"/>
      <c r="N7" s="5"/>
      <c r="O7" s="5"/>
      <c r="P7" s="5"/>
      <c r="Q7" s="5"/>
      <c r="R7" s="5"/>
      <c r="S7" s="5"/>
      <c r="T7" s="5"/>
      <c r="U7" s="6"/>
    </row>
    <row r="8" spans="1:21" s="11" customFormat="1" ht="60.4" customHeight="1" thickBot="1">
      <c r="C8" s="12" t="s">
        <v>12</v>
      </c>
      <c r="D8" s="24" t="s">
        <v>5</v>
      </c>
      <c r="E8" s="25"/>
      <c r="J8" s="13"/>
      <c r="K8" s="14"/>
      <c r="L8" s="14"/>
      <c r="M8" s="14"/>
      <c r="N8" s="14"/>
      <c r="O8" s="14"/>
      <c r="P8" s="14"/>
      <c r="Q8" s="14"/>
      <c r="R8" s="14"/>
      <c r="S8" s="14"/>
      <c r="T8" s="14"/>
      <c r="U8" s="15"/>
    </row>
    <row r="9" spans="1:21" s="11" customFormat="1" ht="52.9" customHeight="1" thickBot="1">
      <c r="C9" s="12" t="s">
        <v>13</v>
      </c>
      <c r="D9" s="24" t="s">
        <v>28</v>
      </c>
      <c r="E9" s="25"/>
      <c r="J9" s="13" t="s">
        <v>1</v>
      </c>
      <c r="K9" s="14"/>
      <c r="L9" s="14"/>
      <c r="M9" s="14"/>
      <c r="N9" s="14"/>
      <c r="O9" s="14"/>
      <c r="P9" s="14"/>
      <c r="Q9" s="14"/>
      <c r="R9" s="14"/>
      <c r="S9" s="14"/>
      <c r="T9" s="14"/>
      <c r="U9" s="15"/>
    </row>
    <row r="10" spans="1:21" s="11" customFormat="1" ht="15.4" thickBot="1">
      <c r="C10" s="12" t="s">
        <v>0</v>
      </c>
      <c r="D10" s="24" t="s">
        <v>25</v>
      </c>
      <c r="E10" s="25"/>
      <c r="J10" s="13" t="s">
        <v>4</v>
      </c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5"/>
    </row>
    <row r="12" spans="1:21" ht="15.4" thickBot="1">
      <c r="B12" s="1" t="s">
        <v>17</v>
      </c>
      <c r="J12" s="4" t="s">
        <v>2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6"/>
    </row>
    <row r="13" spans="1:21" s="11" customFormat="1" ht="32.65" customHeight="1" thickBot="1">
      <c r="C13" s="16" t="s">
        <v>14</v>
      </c>
      <c r="D13" s="24" t="s">
        <v>11</v>
      </c>
      <c r="E13" s="25"/>
      <c r="J13" s="13" t="s">
        <v>23</v>
      </c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5"/>
    </row>
    <row r="14" spans="1:21" s="11" customFormat="1" ht="15.4" thickBot="1">
      <c r="C14" s="16" t="s">
        <v>15</v>
      </c>
      <c r="D14" s="24" t="s">
        <v>31</v>
      </c>
      <c r="E14" s="25"/>
      <c r="J14" s="13" t="s">
        <v>1</v>
      </c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5"/>
    </row>
    <row r="15" spans="1:21" s="11" customFormat="1" ht="15.4" thickBot="1">
      <c r="C15" s="16" t="s">
        <v>22</v>
      </c>
      <c r="D15" s="24" t="s">
        <v>29</v>
      </c>
      <c r="E15" s="25"/>
      <c r="J15" s="13" t="s">
        <v>24</v>
      </c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5"/>
    </row>
    <row r="16" spans="1:21" s="11" customFormat="1" ht="15.4" thickBot="1">
      <c r="C16" s="16" t="s">
        <v>21</v>
      </c>
      <c r="D16" s="24" t="s">
        <v>9</v>
      </c>
      <c r="E16" s="25"/>
      <c r="J16" s="13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5"/>
    </row>
    <row r="17" spans="2:21" s="11" customFormat="1" ht="15.4" thickBot="1">
      <c r="C17" s="16" t="s">
        <v>40</v>
      </c>
      <c r="D17" s="24" t="s">
        <v>30</v>
      </c>
      <c r="E17" s="25"/>
      <c r="J17" s="13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5"/>
    </row>
    <row r="19" spans="2:21">
      <c r="B19" s="1" t="s">
        <v>18</v>
      </c>
      <c r="F19" s="8" t="s">
        <v>20</v>
      </c>
      <c r="J19" s="4" t="s">
        <v>2</v>
      </c>
      <c r="K19" s="5"/>
      <c r="L19" s="5"/>
      <c r="M19" s="5"/>
      <c r="N19" s="5"/>
      <c r="O19" s="5"/>
      <c r="P19" s="5"/>
      <c r="Q19" s="5"/>
      <c r="R19" s="5"/>
      <c r="S19" s="5"/>
      <c r="T19" s="5"/>
      <c r="U19" s="6"/>
    </row>
    <row r="20" spans="2:21" s="11" customFormat="1" ht="12.4" thickBot="1">
      <c r="C20" s="17" t="s">
        <v>34</v>
      </c>
      <c r="D20" s="18" t="s">
        <v>35</v>
      </c>
      <c r="E20" s="17" t="s">
        <v>36</v>
      </c>
      <c r="F20" s="19" t="s">
        <v>37</v>
      </c>
      <c r="G20" s="19" t="s">
        <v>38</v>
      </c>
      <c r="H20" s="19" t="s">
        <v>39</v>
      </c>
      <c r="J20" s="13" t="s">
        <v>3</v>
      </c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5"/>
    </row>
    <row r="21" spans="2:21" s="11" customFormat="1" ht="12.4" thickBot="1">
      <c r="B21" s="11" t="s">
        <v>26</v>
      </c>
      <c r="C21" s="20" t="s">
        <v>32</v>
      </c>
      <c r="D21" s="21" t="s">
        <v>7</v>
      </c>
      <c r="E21" s="22">
        <v>1</v>
      </c>
      <c r="F21" s="23" t="str">
        <f>"fe_" &amp; D21 &amp; "#" &amp; TEXT(E21,"00000")</f>
        <v>fe_PID_1#00001</v>
      </c>
      <c r="G21" s="23" t="str">
        <f>"[COMMIT] " &amp; D21</f>
        <v>[COMMIT] PID_1</v>
      </c>
      <c r="H21" s="23" t="str">
        <f>"[TAG] " &amp; D21</f>
        <v>[TAG] PID_1</v>
      </c>
    </row>
    <row r="22" spans="2:21" s="11" customFormat="1" ht="12.4" thickBot="1">
      <c r="B22" s="11">
        <f>B21+1</f>
        <v>2</v>
      </c>
      <c r="C22" s="20" t="s">
        <v>33</v>
      </c>
      <c r="D22" s="21" t="s">
        <v>8</v>
      </c>
      <c r="E22" s="22">
        <v>2</v>
      </c>
      <c r="F22" s="23" t="str">
        <f>"fe_" &amp; D22 &amp; "#" &amp; TEXT(E22,"00000")</f>
        <v>fe_PID_2#00002</v>
      </c>
      <c r="G22" s="23" t="str">
        <f>"[COMMIT] " &amp; D22</f>
        <v>[COMMIT] PID_2</v>
      </c>
      <c r="H22" s="23" t="str">
        <f>"[TAG] " &amp; D22</f>
        <v>[TAG] PID_2</v>
      </c>
    </row>
    <row r="23" spans="2:21" s="11" customFormat="1" ht="12.4" thickBot="1">
      <c r="B23" s="11">
        <f t="shared" ref="B23:B40" si="0">B22+1</f>
        <v>3</v>
      </c>
      <c r="C23" s="20"/>
      <c r="D23" s="21"/>
      <c r="E23" s="22"/>
      <c r="F23" s="23" t="str">
        <f t="shared" ref="F23:F40" si="1">"fe_" &amp; D23 &amp; "#" &amp; TEXT(E23,"00000")</f>
        <v>fe_#00000</v>
      </c>
      <c r="G23" s="23" t="str">
        <f t="shared" ref="G23:G40" si="2">"[COMMIT] " &amp; D23</f>
        <v xml:space="preserve">[COMMIT] </v>
      </c>
      <c r="H23" s="23" t="str">
        <f t="shared" ref="H23:H40" si="3">"[TAG] " &amp; D23</f>
        <v xml:space="preserve">[TAG] </v>
      </c>
    </row>
    <row r="24" spans="2:21" s="11" customFormat="1" ht="12.4" thickBot="1">
      <c r="B24" s="11">
        <f t="shared" si="0"/>
        <v>4</v>
      </c>
      <c r="C24" s="20"/>
      <c r="D24" s="21"/>
      <c r="E24" s="22"/>
      <c r="F24" s="23" t="str">
        <f t="shared" si="1"/>
        <v>fe_#00000</v>
      </c>
      <c r="G24" s="23" t="str">
        <f t="shared" si="2"/>
        <v xml:space="preserve">[COMMIT] </v>
      </c>
      <c r="H24" s="23" t="str">
        <f t="shared" si="3"/>
        <v xml:space="preserve">[TAG] </v>
      </c>
    </row>
    <row r="25" spans="2:21" s="11" customFormat="1" ht="12.4" thickBot="1">
      <c r="B25" s="11">
        <f t="shared" si="0"/>
        <v>5</v>
      </c>
      <c r="C25" s="20"/>
      <c r="D25" s="21"/>
      <c r="E25" s="22"/>
      <c r="F25" s="23" t="str">
        <f t="shared" si="1"/>
        <v>fe_#00000</v>
      </c>
      <c r="G25" s="23" t="str">
        <f t="shared" si="2"/>
        <v xml:space="preserve">[COMMIT] </v>
      </c>
      <c r="H25" s="23" t="str">
        <f t="shared" si="3"/>
        <v xml:space="preserve">[TAG] </v>
      </c>
    </row>
    <row r="26" spans="2:21" s="11" customFormat="1" ht="12.4" thickBot="1">
      <c r="B26" s="11">
        <f t="shared" si="0"/>
        <v>6</v>
      </c>
      <c r="C26" s="20"/>
      <c r="D26" s="21"/>
      <c r="E26" s="22"/>
      <c r="F26" s="23" t="str">
        <f t="shared" si="1"/>
        <v>fe_#00000</v>
      </c>
      <c r="G26" s="23" t="str">
        <f t="shared" si="2"/>
        <v xml:space="preserve">[COMMIT] </v>
      </c>
      <c r="H26" s="23" t="str">
        <f t="shared" si="3"/>
        <v xml:space="preserve">[TAG] </v>
      </c>
    </row>
    <row r="27" spans="2:21" s="11" customFormat="1" ht="12.4" thickBot="1">
      <c r="B27" s="11">
        <f t="shared" si="0"/>
        <v>7</v>
      </c>
      <c r="C27" s="20"/>
      <c r="D27" s="21"/>
      <c r="E27" s="22"/>
      <c r="F27" s="23" t="str">
        <f t="shared" si="1"/>
        <v>fe_#00000</v>
      </c>
      <c r="G27" s="23" t="str">
        <f t="shared" si="2"/>
        <v xml:space="preserve">[COMMIT] </v>
      </c>
      <c r="H27" s="23" t="str">
        <f t="shared" si="3"/>
        <v xml:space="preserve">[TAG] </v>
      </c>
    </row>
    <row r="28" spans="2:21" s="11" customFormat="1" ht="12.4" thickBot="1">
      <c r="B28" s="11">
        <f t="shared" si="0"/>
        <v>8</v>
      </c>
      <c r="C28" s="20"/>
      <c r="D28" s="21"/>
      <c r="E28" s="22"/>
      <c r="F28" s="23" t="str">
        <f t="shared" si="1"/>
        <v>fe_#00000</v>
      </c>
      <c r="G28" s="23" t="str">
        <f t="shared" si="2"/>
        <v xml:space="preserve">[COMMIT] </v>
      </c>
      <c r="H28" s="23" t="str">
        <f t="shared" si="3"/>
        <v xml:space="preserve">[TAG] </v>
      </c>
    </row>
    <row r="29" spans="2:21" s="11" customFormat="1" ht="12.4" thickBot="1">
      <c r="B29" s="11">
        <f t="shared" si="0"/>
        <v>9</v>
      </c>
      <c r="C29" s="20"/>
      <c r="D29" s="21"/>
      <c r="E29" s="22"/>
      <c r="F29" s="23" t="str">
        <f t="shared" si="1"/>
        <v>fe_#00000</v>
      </c>
      <c r="G29" s="23" t="str">
        <f t="shared" si="2"/>
        <v xml:space="preserve">[COMMIT] </v>
      </c>
      <c r="H29" s="23" t="str">
        <f t="shared" si="3"/>
        <v xml:space="preserve">[TAG] </v>
      </c>
    </row>
    <row r="30" spans="2:21" s="11" customFormat="1" ht="12.4" thickBot="1">
      <c r="B30" s="11">
        <f t="shared" si="0"/>
        <v>10</v>
      </c>
      <c r="C30" s="20"/>
      <c r="D30" s="21"/>
      <c r="E30" s="22"/>
      <c r="F30" s="23" t="str">
        <f t="shared" si="1"/>
        <v>fe_#00000</v>
      </c>
      <c r="G30" s="23" t="str">
        <f t="shared" si="2"/>
        <v xml:space="preserve">[COMMIT] </v>
      </c>
      <c r="H30" s="23" t="str">
        <f t="shared" si="3"/>
        <v xml:space="preserve">[TAG] </v>
      </c>
    </row>
    <row r="31" spans="2:21" s="11" customFormat="1" ht="12.4" thickBot="1">
      <c r="B31" s="11">
        <f t="shared" si="0"/>
        <v>11</v>
      </c>
      <c r="C31" s="20"/>
      <c r="D31" s="21"/>
      <c r="E31" s="22"/>
      <c r="F31" s="23" t="str">
        <f t="shared" si="1"/>
        <v>fe_#00000</v>
      </c>
      <c r="G31" s="23" t="str">
        <f t="shared" si="2"/>
        <v xml:space="preserve">[COMMIT] </v>
      </c>
      <c r="H31" s="23" t="str">
        <f t="shared" si="3"/>
        <v xml:space="preserve">[TAG] </v>
      </c>
    </row>
    <row r="32" spans="2:21" s="11" customFormat="1" ht="12.4" thickBot="1">
      <c r="B32" s="11">
        <f t="shared" si="0"/>
        <v>12</v>
      </c>
      <c r="C32" s="20"/>
      <c r="D32" s="21"/>
      <c r="E32" s="22"/>
      <c r="F32" s="23" t="str">
        <f t="shared" si="1"/>
        <v>fe_#00000</v>
      </c>
      <c r="G32" s="23" t="str">
        <f t="shared" si="2"/>
        <v xml:space="preserve">[COMMIT] </v>
      </c>
      <c r="H32" s="23" t="str">
        <f t="shared" si="3"/>
        <v xml:space="preserve">[TAG] </v>
      </c>
    </row>
    <row r="33" spans="2:8" s="11" customFormat="1" ht="12.4" thickBot="1">
      <c r="B33" s="11">
        <f t="shared" si="0"/>
        <v>13</v>
      </c>
      <c r="C33" s="20"/>
      <c r="D33" s="21"/>
      <c r="E33" s="22"/>
      <c r="F33" s="23" t="str">
        <f t="shared" si="1"/>
        <v>fe_#00000</v>
      </c>
      <c r="G33" s="23" t="str">
        <f t="shared" si="2"/>
        <v xml:space="preserve">[COMMIT] </v>
      </c>
      <c r="H33" s="23" t="str">
        <f t="shared" si="3"/>
        <v xml:space="preserve">[TAG] </v>
      </c>
    </row>
    <row r="34" spans="2:8" s="11" customFormat="1" ht="12.4" thickBot="1">
      <c r="B34" s="11">
        <f t="shared" si="0"/>
        <v>14</v>
      </c>
      <c r="C34" s="20"/>
      <c r="D34" s="21"/>
      <c r="E34" s="22"/>
      <c r="F34" s="23" t="str">
        <f t="shared" si="1"/>
        <v>fe_#00000</v>
      </c>
      <c r="G34" s="23" t="str">
        <f t="shared" si="2"/>
        <v xml:space="preserve">[COMMIT] </v>
      </c>
      <c r="H34" s="23" t="str">
        <f t="shared" si="3"/>
        <v xml:space="preserve">[TAG] </v>
      </c>
    </row>
    <row r="35" spans="2:8" s="11" customFormat="1" ht="12.4" thickBot="1">
      <c r="B35" s="11">
        <f t="shared" si="0"/>
        <v>15</v>
      </c>
      <c r="C35" s="20"/>
      <c r="D35" s="21"/>
      <c r="E35" s="22"/>
      <c r="F35" s="23" t="str">
        <f t="shared" si="1"/>
        <v>fe_#00000</v>
      </c>
      <c r="G35" s="23" t="str">
        <f t="shared" si="2"/>
        <v xml:space="preserve">[COMMIT] </v>
      </c>
      <c r="H35" s="23" t="str">
        <f t="shared" si="3"/>
        <v xml:space="preserve">[TAG] </v>
      </c>
    </row>
    <row r="36" spans="2:8" s="11" customFormat="1" ht="12.4" thickBot="1">
      <c r="B36" s="11">
        <f t="shared" si="0"/>
        <v>16</v>
      </c>
      <c r="C36" s="20"/>
      <c r="D36" s="21"/>
      <c r="E36" s="22"/>
      <c r="F36" s="23" t="str">
        <f t="shared" si="1"/>
        <v>fe_#00000</v>
      </c>
      <c r="G36" s="23" t="str">
        <f t="shared" si="2"/>
        <v xml:space="preserve">[COMMIT] </v>
      </c>
      <c r="H36" s="23" t="str">
        <f t="shared" si="3"/>
        <v xml:space="preserve">[TAG] </v>
      </c>
    </row>
    <row r="37" spans="2:8" s="11" customFormat="1" ht="12.4" thickBot="1">
      <c r="B37" s="11">
        <f t="shared" si="0"/>
        <v>17</v>
      </c>
      <c r="C37" s="20"/>
      <c r="D37" s="21"/>
      <c r="E37" s="22"/>
      <c r="F37" s="23" t="str">
        <f t="shared" si="1"/>
        <v>fe_#00000</v>
      </c>
      <c r="G37" s="23" t="str">
        <f t="shared" si="2"/>
        <v xml:space="preserve">[COMMIT] </v>
      </c>
      <c r="H37" s="23" t="str">
        <f t="shared" si="3"/>
        <v xml:space="preserve">[TAG] </v>
      </c>
    </row>
    <row r="38" spans="2:8" s="11" customFormat="1" ht="12.4" thickBot="1">
      <c r="B38" s="11">
        <f t="shared" si="0"/>
        <v>18</v>
      </c>
      <c r="C38" s="20"/>
      <c r="D38" s="21"/>
      <c r="E38" s="22"/>
      <c r="F38" s="23" t="str">
        <f t="shared" si="1"/>
        <v>fe_#00000</v>
      </c>
      <c r="G38" s="23" t="str">
        <f t="shared" si="2"/>
        <v xml:space="preserve">[COMMIT] </v>
      </c>
      <c r="H38" s="23" t="str">
        <f t="shared" si="3"/>
        <v xml:space="preserve">[TAG] </v>
      </c>
    </row>
    <row r="39" spans="2:8" s="11" customFormat="1" ht="12.4" thickBot="1">
      <c r="B39" s="11">
        <f t="shared" si="0"/>
        <v>19</v>
      </c>
      <c r="C39" s="20"/>
      <c r="D39" s="21"/>
      <c r="E39" s="22"/>
      <c r="F39" s="23" t="str">
        <f t="shared" si="1"/>
        <v>fe_#00000</v>
      </c>
      <c r="G39" s="23" t="str">
        <f t="shared" si="2"/>
        <v xml:space="preserve">[COMMIT] </v>
      </c>
      <c r="H39" s="23" t="str">
        <f t="shared" si="3"/>
        <v xml:space="preserve">[TAG] </v>
      </c>
    </row>
    <row r="40" spans="2:8" s="11" customFormat="1" ht="12.4" thickBot="1">
      <c r="B40" s="11">
        <f t="shared" si="0"/>
        <v>20</v>
      </c>
      <c r="C40" s="20"/>
      <c r="D40" s="21"/>
      <c r="E40" s="22"/>
      <c r="F40" s="23" t="str">
        <f t="shared" si="1"/>
        <v>fe_#00000</v>
      </c>
      <c r="G40" s="23" t="str">
        <f t="shared" si="2"/>
        <v xml:space="preserve">[COMMIT] </v>
      </c>
      <c r="H40" s="23" t="str">
        <f t="shared" si="3"/>
        <v xml:space="preserve">[TAG] </v>
      </c>
    </row>
  </sheetData>
  <mergeCells count="10">
    <mergeCell ref="D17:E17"/>
    <mergeCell ref="D16:E16"/>
    <mergeCell ref="D13:E13"/>
    <mergeCell ref="C4:E4"/>
    <mergeCell ref="C5:E5"/>
    <mergeCell ref="D15:E15"/>
    <mergeCell ref="D9:E9"/>
    <mergeCell ref="D10:E10"/>
    <mergeCell ref="D8:E8"/>
    <mergeCell ref="D14:E14"/>
  </mergeCells>
  <phoneticPr fontId="1"/>
  <dataValidations count="1">
    <dataValidation type="list" allowBlank="1" showInputMessage="1" showErrorMessage="1" sqref="D10:E10 D17:E17" xr:uid="{B4A3B225-9897-40C9-94F4-263A99389ED8}">
      <formula1>"YES,NO"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001_Click">
                <anchor moveWithCells="1" sizeWithCells="1">
                  <from>
                    <xdr:col>0</xdr:col>
                    <xdr:colOff>128588</xdr:colOff>
                    <xdr:row>2</xdr:row>
                    <xdr:rowOff>180975</xdr:rowOff>
                  </from>
                  <to>
                    <xdr:col>1</xdr:col>
                    <xdr:colOff>290513</xdr:colOff>
                    <xdr:row>3</xdr:row>
                    <xdr:rowOff>500063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un002_Click">
                <anchor moveWithCells="1" sizeWithCells="1">
                  <from>
                    <xdr:col>0</xdr:col>
                    <xdr:colOff>133350</xdr:colOff>
                    <xdr:row>4</xdr:row>
                    <xdr:rowOff>276225</xdr:rowOff>
                  </from>
                  <to>
                    <xdr:col>1</xdr:col>
                    <xdr:colOff>276225</xdr:colOff>
                    <xdr:row>4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E9CBBF-399B-4D07-9A08-E91FD1FAAD67}">
  <sheetPr codeName="Sheet2"/>
  <dimension ref="A1"/>
  <sheetViews>
    <sheetView workbookViewId="0">
      <selection activeCell="D22" sqref="D22"/>
    </sheetView>
  </sheetViews>
  <sheetFormatPr defaultRowHeight="17.649999999999999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Worker01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2023-04-29T07:18:42Z</dcterms:modified>
</cp:coreProperties>
</file>