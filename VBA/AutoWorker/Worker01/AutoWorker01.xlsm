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83986AD2-1613-4630-A4D7-90F63A375D13}" xr6:coauthVersionLast="47" xr6:coauthVersionMax="47" xr10:uidLastSave="{00000000-0000-0000-0000-000000000000}"/>
  <bookViews>
    <workbookView xWindow="-98" yWindow="-98" windowWidth="22695" windowHeight="14476" tabRatio="682" activeTab="1" xr2:uid="{00000000-000D-0000-FFFF-FFFF00000000}"/>
  </bookViews>
  <sheets>
    <sheet name="main" sheetId="2" r:id="rId1"/>
    <sheet name="params" sheetId="1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7" i="1" l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6" i="1"/>
  <c r="K42" i="1"/>
  <c r="J42" i="1"/>
  <c r="I42" i="1"/>
  <c r="K41" i="1"/>
  <c r="J41" i="1"/>
  <c r="I41" i="1"/>
  <c r="K40" i="1"/>
  <c r="J40" i="1"/>
  <c r="I40" i="1"/>
  <c r="K39" i="1"/>
  <c r="J39" i="1"/>
  <c r="I39" i="1"/>
  <c r="I24" i="1"/>
  <c r="J24" i="1"/>
  <c r="K24" i="1"/>
  <c r="K28" i="1"/>
  <c r="J28" i="1"/>
  <c r="I28" i="1"/>
  <c r="K27" i="1"/>
  <c r="J27" i="1"/>
  <c r="I27" i="1"/>
  <c r="K43" i="1"/>
  <c r="K38" i="1"/>
  <c r="K37" i="1"/>
  <c r="K36" i="1"/>
  <c r="K35" i="1"/>
  <c r="K34" i="1"/>
  <c r="K33" i="1"/>
  <c r="K32" i="1"/>
  <c r="K31" i="1"/>
  <c r="K30" i="1"/>
  <c r="K29" i="1"/>
  <c r="K26" i="1"/>
  <c r="K25" i="1"/>
  <c r="A25" i="1"/>
  <c r="J43" i="1"/>
  <c r="I43" i="1"/>
  <c r="J38" i="1"/>
  <c r="I38" i="1"/>
  <c r="J37" i="1"/>
  <c r="I37" i="1"/>
  <c r="J36" i="1"/>
  <c r="I36" i="1"/>
  <c r="J35" i="1"/>
  <c r="I35" i="1"/>
  <c r="J34" i="1"/>
  <c r="I34" i="1"/>
  <c r="J33" i="1"/>
  <c r="I33" i="1"/>
  <c r="J32" i="1"/>
  <c r="I32" i="1"/>
  <c r="J31" i="1"/>
  <c r="I31" i="1"/>
  <c r="J30" i="1"/>
  <c r="I30" i="1"/>
  <c r="J29" i="1"/>
  <c r="I29" i="1"/>
  <c r="J26" i="1"/>
  <c r="I26" i="1"/>
  <c r="J25" i="1"/>
  <c r="I25" i="1"/>
</calcChain>
</file>

<file path=xl/sharedStrings.xml><?xml version="1.0" encoding="utf-8"?>
<sst xmlns="http://schemas.openxmlformats.org/spreadsheetml/2006/main" count="220" uniqueCount="98">
  <si>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</si>
  <si>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</si>
  <si>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</si>
  <si>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PID_1</t>
    <phoneticPr fontId="1"/>
  </si>
  <si>
    <t>https://github.com/mtk57/GIT_0020</t>
    <phoneticPr fontId="1"/>
  </si>
  <si>
    <t>(A)GitリポジトリURL</t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</si>
  <si>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</si>
  <si>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</si>
  <si>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</si>
  <si>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</si>
  <si>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</si>
  <si>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</si>
  <si>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</si>
  <si>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</si>
  <si>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</si>
  <si>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</si>
  <si>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</si>
  <si>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</si>
  <si>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</si>
  <si>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(E)リモートブランチを更新する</t>
    <rPh sb="12" eb="14">
      <t>コウシン</t>
    </rPh>
    <phoneticPr fontId="1"/>
  </si>
  <si>
    <t>Zsrc</t>
    <phoneticPr fontId="1"/>
  </si>
  <si>
    <t>Danger　zone</t>
    <phoneticPr fontId="1"/>
  </si>
  <si>
    <t>(0)有効無効</t>
    <rPh sb="3" eb="7">
      <t>ユウコウムコウ</t>
    </rPh>
    <phoneticPr fontId="1"/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</si>
  <si>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</si>
  <si>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</si>
  <si>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</si>
  <si>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</si>
  <si>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NO</t>
  </si>
  <si>
    <t>(7)Branch</t>
    <phoneticPr fontId="1"/>
  </si>
  <si>
    <t>(8)Commit</t>
    <phoneticPr fontId="1"/>
  </si>
  <si>
    <t>(9)Tag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</si>
  <si>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</si>
  <si>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1.(B)に(A)をクローンする。
2.(D)にスイッチする。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</si>
  <si>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</si>
  <si>
    <t>③収集除外ファイル</t>
    <rPh sb="1" eb="3">
      <t>シュウ</t>
    </rPh>
    <rPh sb="3" eb="5">
      <t>ジョガイ</t>
    </rPh>
    <phoneticPr fontId="1"/>
  </si>
  <si>
    <t>複数ある場合は半角カンマで区切る。</t>
    <rPh sb="0" eb="2">
      <t>フク</t>
    </rPh>
    <rPh sb="4" eb="6">
      <t>バアイ</t>
    </rPh>
    <rPh sb="7" eb="9">
      <t>ハン</t>
    </rPh>
    <rPh sb="13" eb="15">
      <t>クギ</t>
    </rPh>
    <phoneticPr fontId="1"/>
  </si>
  <si>
    <t>C:\_git\PublicMemo\VBA\VbProjCollector\VBProjCollector.xlsm</t>
    <phoneticPr fontId="1"/>
  </si>
  <si>
    <t>ver.</t>
    <phoneticPr fontId="1"/>
  </si>
  <si>
    <t>指定ブランチのHEADにタグ打ち</t>
    <rPh sb="0" eb="2">
      <t>シテイ</t>
    </rPh>
    <rPh sb="14" eb="15">
      <t>ウ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</si>
  <si>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5.(9)タグをつけてプッシュする。(STEP1.1以外はNG)
6.2～5を[Target]の行数分繰り返す。</t>
    <rPh sb="42" eb="44">
      <t>サクセイ</t>
    </rPh>
    <rPh sb="82" eb="84">
      <t>ハイカ</t>
    </rPh>
    <rPh sb="100" eb="102">
      <t>チュウイ</t>
    </rPh>
    <rPh sb="152" eb="154">
      <t>ギョウスウ</t>
    </rPh>
    <rPh sb="154" eb="155">
      <t>ブン</t>
    </rPh>
    <rPh sb="155" eb="156">
      <t>ク</t>
    </rPh>
    <rPh sb="157" eb="158">
      <t>カエ</t>
    </rPh>
    <phoneticPr fontId="1"/>
  </si>
  <si>
    <t>1.(B)に(A)をクローンする。
2.(7)にスイッチする。
3.HEADに(9)タグをつけてプッシュする。(STEP1.5以外はNG)
4.2～3を[Target]の行数分繰り返す。</t>
    <rPh sb="63" eb="65">
      <t>イガイ</t>
    </rPh>
    <phoneticPr fontId="1"/>
  </si>
  <si>
    <t>指定ブランチに対してBATファイルを実行</t>
    <rPh sb="0" eb="2">
      <t>シテイ</t>
    </rPh>
    <rPh sb="7" eb="8">
      <t>タイ</t>
    </rPh>
    <rPh sb="18" eb="20">
      <t>ジッコウ</t>
    </rPh>
    <phoneticPr fontId="1"/>
  </si>
  <si>
    <t xml:space="preserve">②VBプロジェクトファイルを収集するフォルダパス(絶対パス) </t>
    <rPh sb="14" eb="16">
      <t>シュウシュウ</t>
    </rPh>
    <phoneticPr fontId="1"/>
  </si>
  <si>
    <t xml:space="preserve">①外部ツールファイルパス(絶対パス) </t>
    <phoneticPr fontId="1"/>
  </si>
  <si>
    <t xml:space="preserve">(B)Gitフォルダパス(絶対パス) </t>
    <phoneticPr fontId="1"/>
  </si>
  <si>
    <t>(C)起点フォルダ名</t>
    <rPh sb="3" eb="5">
      <t>キテン</t>
    </rPh>
    <rPh sb="9" eb="10">
      <t>メイ</t>
    </rPh>
    <phoneticPr fontId="1"/>
  </si>
  <si>
    <t xml:space="preserve">(D)ベースブランチ名 </t>
    <rPh sb="10" eb="11">
      <t>メイ</t>
    </rPh>
    <phoneticPr fontId="1"/>
  </si>
  <si>
    <t>(1)VBプロジェクトファイルの絶対パス</t>
    <rPh sb="16" eb="18">
      <t>ゼッタイ</t>
    </rPh>
    <phoneticPr fontId="1"/>
  </si>
  <si>
    <t>(2)Lot</t>
    <phoneticPr fontId="1"/>
  </si>
  <si>
    <t>(3)Phase</t>
    <phoneticPr fontId="1"/>
  </si>
  <si>
    <t>(4)PID</t>
    <phoneticPr fontId="1"/>
  </si>
  <si>
    <t>(5)Redmine#</t>
    <phoneticPr fontId="1"/>
  </si>
  <si>
    <t>(6)STEP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</si>
  <si>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</si>
  <si>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</si>
  <si>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</si>
  <si>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</si>
  <si>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</si>
  <si>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★必須パラメータ</t>
    <rPh sb="1" eb="3">
      <t>ヒッス</t>
    </rPh>
    <phoneticPr fontId="1"/>
  </si>
  <si>
    <t>(A)</t>
    <phoneticPr fontId="1"/>
  </si>
  <si>
    <t>(B)</t>
    <phoneticPr fontId="1"/>
  </si>
  <si>
    <t>(C)</t>
    <phoneticPr fontId="1"/>
  </si>
  <si>
    <t>(D)</t>
    <phoneticPr fontId="1"/>
  </si>
  <si>
    <t>(E)</t>
    <phoneticPr fontId="1"/>
  </si>
  <si>
    <t>(F)</t>
    <phoneticPr fontId="1"/>
  </si>
  <si>
    <t>(G)</t>
    <phoneticPr fontId="1"/>
  </si>
  <si>
    <t>(0)</t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</si>
  <si>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</si>
  <si>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</si>
  <si>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</si>
  <si>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</si>
  <si>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(5)</t>
    <phoneticPr fontId="1"/>
  </si>
  <si>
    <t>(6)</t>
    <phoneticPr fontId="1"/>
  </si>
  <si>
    <t>1.(1)のVBプロジェクトファイル(C24～Cnn)を②に収集する。</t>
    <rPh sb="30" eb="32">
      <t>シュウシュウ</t>
    </rPh>
    <phoneticPr fontId="1"/>
  </si>
  <si>
    <t>(F)(7)が存在した場合は削除する</t>
    <rPh sb="7" eb="9">
      <t>ソンザイ</t>
    </rPh>
    <rPh sb="11" eb="13">
      <t>バアイ</t>
    </rPh>
    <rPh sb="14" eb="16">
      <t>サク</t>
    </rPh>
    <phoneticPr fontId="1"/>
  </si>
  <si>
    <r>
      <rPr>
        <b/>
        <sz val="9"/>
        <color rgb="FFFF0000"/>
        <rFont val="Meiryo UI"/>
        <family val="3"/>
        <charset val="128"/>
      </rPr>
      <t>黄色セルは式</t>
    </r>
    <r>
      <rPr>
        <sz val="9"/>
        <color rgb="FFFF0000"/>
        <rFont val="Meiryo UI"/>
        <family val="3"/>
        <charset val="128"/>
      </rPr>
      <t>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</si>
  <si>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Enable</t>
    <phoneticPr fontId="1"/>
  </si>
  <si>
    <t>Run 001のテスト用</t>
    <rPh sb="11" eb="12">
      <t>ヨウ</t>
    </rPh>
    <phoneticPr fontId="1"/>
  </si>
  <si>
    <t>Run 002のテスト用</t>
    <rPh sb="11" eb="12">
      <t>ヨウ</t>
    </rPh>
    <phoneticPr fontId="1"/>
  </si>
  <si>
    <t>develop1</t>
    <phoneticPr fontId="1"/>
  </si>
  <si>
    <t>Run 003のテスト用</t>
    <rPh sb="11" eb="12">
      <t>ヨウ</t>
    </rPh>
    <phoneticPr fontId="1"/>
  </si>
  <si>
    <t>1.5</t>
    <phoneticPr fontId="1"/>
  </si>
  <si>
    <t>Run 004のテスト用</t>
    <rPh sb="11" eb="12">
      <t>ヨウ</t>
    </rPh>
    <phoneticPr fontId="1"/>
  </si>
  <si>
    <t>Run 005のテスト用</t>
    <rPh sb="11" eb="12">
      <t>ヨウ</t>
    </rPh>
    <phoneticPr fontId="1"/>
  </si>
  <si>
    <t>1.6</t>
    <phoneticPr fontId="1"/>
  </si>
  <si>
    <t>タグ一覧出力</t>
    <rPh sb="2" eb="4">
      <t>イチラン</t>
    </rPh>
    <rPh sb="4" eb="6">
      <t>シュツリョク</t>
    </rPh>
    <phoneticPr fontId="1"/>
  </si>
  <si>
    <t>1.(B)に(A)をクローンする。
2.(9)タグをtxtで②に出力する。
3.2を[Target]の行数分繰り返す。</t>
    <rPh sb="32" eb="34">
      <t>シュツ</t>
    </rPh>
    <rPh sb="51" eb="53">
      <t>ギョウスウ</t>
    </rPh>
    <rPh sb="53" eb="54">
      <t>ブン</t>
    </rPh>
    <rPh sb="54" eb="55">
      <t>ク</t>
    </rPh>
    <rPh sb="56" eb="57">
      <t>カエ</t>
    </rPh>
    <phoneticPr fontId="1"/>
  </si>
  <si>
    <t>Run 006のテスト用</t>
    <rPh sb="11" eb="12">
      <t>ヨウ</t>
    </rPh>
    <phoneticPr fontId="1"/>
  </si>
  <si>
    <t>1.?</t>
    <phoneticPr fontId="1"/>
  </si>
  <si>
    <t>1.5.3</t>
    <phoneticPr fontId="1"/>
  </si>
  <si>
    <t>1.(B)に(A)をクローンする。
2.(D)にスイッチしてプルする。
3.(7)にスイッチしてプルする。
4.(D)を(7)にマージする。(ファストフォワード)
5.④のsakuraを実行する。
6.(8)コミットする。
7.(9)タグをつけてプッシュする。
8.(D)にスイッチする。
9.(7)を(D)にマージする。(ファストフォワード)
10.2～9を[Target]の行数分繰り返す。
11.プッシュする。(D)</t>
    <rPh sb="93" eb="95">
      <t>ジッコウ</t>
    </rPh>
    <rPh sb="189" eb="191">
      <t>ギョウスウ</t>
    </rPh>
    <rPh sb="191" eb="192">
      <t>ブン</t>
    </rPh>
    <rPh sb="192" eb="193">
      <t>ク</t>
    </rPh>
    <rPh sb="194" eb="195">
      <t>カエ</t>
    </rPh>
    <phoneticPr fontId="1"/>
  </si>
  <si>
    <t>NO</t>
    <phoneticPr fontId="1"/>
  </si>
  <si>
    <t>"C:\Program Files (x86)\sakura\sakura.exe"</t>
    <phoneticPr fontId="1"/>
  </si>
  <si>
    <t>本ツールではダブルクォーテーションは付けないので、パスに半角スペースを含む場合は""で囲むこと。(含まなくても""で囲んでもよい)</t>
    <rPh sb="0" eb="1">
      <t>ホン</t>
    </rPh>
    <rPh sb="18" eb="19">
      <t>ツ</t>
    </rPh>
    <rPh sb="28" eb="30">
      <t>ハンカク</t>
    </rPh>
    <rPh sb="35" eb="36">
      <t>フク</t>
    </rPh>
    <rPh sb="37" eb="39">
      <t>バアイ</t>
    </rPh>
    <rPh sb="43" eb="44">
      <t>カコ</t>
    </rPh>
    <rPh sb="49" eb="50">
      <t>フク</t>
    </rPh>
    <rPh sb="58" eb="59">
      <t>カコ</t>
    </rPh>
    <phoneticPr fontId="1"/>
  </si>
  <si>
    <r>
      <t xml:space="preserve">引数の仕様についてはsakuraの公式サイトを参照すること。
複数ある場合は改行する。
</t>
    </r>
    <r>
      <rPr>
        <b/>
        <sz val="9"/>
        <color rgb="FFFF0000"/>
        <rFont val="Meiryo UI"/>
        <family val="3"/>
        <charset val="128"/>
      </rPr>
      <t>実行前に赤字ボールドの内容が正しいことを確認すること。</t>
    </r>
    <r>
      <rPr>
        <sz val="9"/>
        <color theme="1"/>
        <rFont val="Meiryo UI"/>
        <family val="3"/>
        <charset val="128"/>
      </rPr>
      <t xml:space="preserve">
本ツールではダブルクォーテーションは付けないので、パス等に半角スペースを含む場合は""で囲むこと。(含まなくても""で囲んでもよい)</t>
    </r>
    <rPh sb="0" eb="2">
      <t>ヒキスウ</t>
    </rPh>
    <rPh sb="3" eb="5">
      <t>シヨウ</t>
    </rPh>
    <rPh sb="17" eb="19">
      <t>コウシキ</t>
    </rPh>
    <rPh sb="23" eb="25">
      <t>サンショウ</t>
    </rPh>
    <rPh sb="31" eb="33">
      <t>フクスウ</t>
    </rPh>
    <rPh sb="35" eb="37">
      <t>バアイ</t>
    </rPh>
    <rPh sb="38" eb="40">
      <t>カイギョウ</t>
    </rPh>
    <rPh sb="99" eb="100">
      <t>ナド</t>
    </rPh>
    <phoneticPr fontId="1"/>
  </si>
  <si>
    <t xml:space="preserve">④sakuraエディタのパス(絶対パス) </t>
    <phoneticPr fontId="1"/>
  </si>
  <si>
    <t>⑤sakuraに渡す引数</t>
    <rPh sb="8" eb="9">
      <t>ワタ</t>
    </rPh>
    <rPh sb="10" eb="12">
      <t>ヒキスウ</t>
    </rPh>
    <phoneticPr fontId="1"/>
  </si>
  <si>
    <r>
      <t>-GREPMODE
-GKEY=</t>
    </r>
    <r>
      <rPr>
        <b/>
        <sz val="9"/>
        <color rgb="FFFF0000"/>
        <rFont val="Meiryo UI"/>
        <family val="3"/>
        <charset val="128"/>
      </rPr>
      <t>"hoge\r\n|fuga\r\n"</t>
    </r>
    <r>
      <rPr>
        <sz val="9"/>
        <color theme="1"/>
        <rFont val="Meiryo UI"/>
        <family val="3"/>
        <charset val="128"/>
      </rPr>
      <t xml:space="preserve">
-GREPR=</t>
    </r>
    <r>
      <rPr>
        <b/>
        <sz val="9"/>
        <color rgb="FFFF0000"/>
        <rFont val="Meiryo UI"/>
        <family val="3"/>
        <charset val="128"/>
      </rPr>
      <t>""</t>
    </r>
    <r>
      <rPr>
        <sz val="9"/>
        <color theme="1"/>
        <rFont val="Meiryo UI"/>
        <family val="3"/>
        <charset val="128"/>
      </rPr>
      <t xml:space="preserve">
-GFILE=</t>
    </r>
    <r>
      <rPr>
        <b/>
        <sz val="9"/>
        <color rgb="FFFF0000"/>
        <rFont val="Meiryo UI"/>
        <family val="3"/>
        <charset val="128"/>
      </rPr>
      <t>"*.vb"</t>
    </r>
    <r>
      <rPr>
        <sz val="9"/>
        <color theme="1"/>
        <rFont val="Meiryo UI"/>
        <family val="3"/>
        <charset val="128"/>
      </rPr>
      <t xml:space="preserve">
-GFOLDER=</t>
    </r>
    <r>
      <rPr>
        <b/>
        <sz val="9"/>
        <color rgb="FFFF0000"/>
        <rFont val="Meiryo UI"/>
        <family val="3"/>
        <charset val="128"/>
      </rPr>
      <t>"C:\_git_wk\GIT_0020\SRC_030"</t>
    </r>
    <r>
      <rPr>
        <sz val="9"/>
        <color theme="1"/>
        <rFont val="Meiryo UI"/>
        <family val="3"/>
        <charset val="128"/>
      </rPr>
      <t xml:space="preserve">
-GCODE=99
-GOPT=SRU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</si>
</sst>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sz val="11"/>
      <color theme="0"/>
      <name val="Yu Gothic"/>
      <family val="2"/>
      <scheme val="minor"/>
    </font>
    <font>
      <b/>
      <sz val="9"/>
      <color rgb="FFFF0000"/>
      <name val="Meiryo UI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12" fillId="10" borderId="2" xfId="0" applyNumberFormat="1" applyFont="1" applyFill="1" applyBorder="1" applyAlignment="1">
      <alignment horizontal="left" vertical="center"/>
    </xf>
    <xf numFmtId="49" fontId="12" fillId="7" borderId="10" xfId="0" applyNumberFormat="1" applyFont="1" applyFill="1" applyBorder="1" applyAlignment="1">
      <alignment horizontal="center" vertical="center" shrinkToFit="1"/>
    </xf>
    <xf numFmtId="49" fontId="12" fillId="10" borderId="10" xfId="0" applyNumberFormat="1" applyFont="1" applyFill="1" applyBorder="1" applyAlignment="1">
      <alignment horizontal="center" vertical="center" shrinkToFit="1"/>
    </xf>
    <xf numFmtId="49" fontId="12" fillId="11" borderId="1" xfId="0" applyNumberFormat="1" applyFont="1" applyFill="1" applyBorder="1" applyAlignment="1">
      <alignment horizontal="left" vertical="center" wrapText="1"/>
    </xf>
    <xf numFmtId="49" fontId="12" fillId="11" borderId="6" xfId="0" applyNumberFormat="1" applyFont="1" applyFill="1" applyBorder="1" applyAlignment="1">
      <alignment horizontal="left" vertical="center" wrapText="1"/>
    </xf>
    <xf numFmtId="49" fontId="5" fillId="12" borderId="5" xfId="0" applyNumberFormat="1" applyFont="1" applyFill="1" applyBorder="1" applyAlignment="1">
      <alignment horizontal="center" vertical="center" shrinkToFit="1"/>
    </xf>
    <xf numFmtId="49" fontId="5" fillId="12" borderId="3" xfId="0" applyNumberFormat="1" applyFont="1" applyFill="1" applyBorder="1" applyAlignment="1">
      <alignment horizontal="left" vertical="center"/>
    </xf>
    <xf numFmtId="49" fontId="5" fillId="12" borderId="5" xfId="0" applyNumberFormat="1" applyFont="1" applyFill="1" applyBorder="1" applyAlignment="1">
      <alignment horizontal="left" vertical="center"/>
    </xf>
    <xf numFmtId="176" fontId="5" fillId="12" borderId="3" xfId="0" applyNumberFormat="1" applyFont="1" applyFill="1" applyBorder="1" applyAlignment="1">
      <alignment horizontal="left" vertical="center"/>
    </xf>
    <xf numFmtId="49" fontId="3" fillId="4" borderId="0" xfId="0" applyNumberFormat="1" applyFont="1" applyFill="1" applyAlignment="1">
      <alignment horizontal="left" vertical="center"/>
    </xf>
    <xf numFmtId="49" fontId="3" fillId="0" borderId="0" xfId="0" applyNumberFormat="1" applyFont="1" applyAlignment="1">
      <alignment horizontal="left" vertical="top"/>
    </xf>
    <xf numFmtId="49" fontId="5" fillId="5" borderId="5" xfId="0" applyNumberFormat="1" applyFont="1" applyFill="1" applyBorder="1" applyAlignment="1">
      <alignment horizontal="left" vertical="top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49" fontId="5" fillId="5" borderId="3" xfId="0" applyNumberFormat="1" applyFont="1" applyFill="1" applyBorder="1" applyAlignment="1">
      <alignment horizontal="left" vertical="center" wrapText="1"/>
    </xf>
    <xf numFmtId="0" fontId="0" fillId="5" borderId="7" xfId="0" applyFill="1" applyBorder="1" applyAlignment="1">
      <alignment horizontal="left" vertical="center" wrapText="1"/>
    </xf>
    <xf numFmtId="0" fontId="0" fillId="5" borderId="4" xfId="0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49" fontId="5" fillId="0" borderId="3" xfId="0" applyNumberFormat="1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49" fontId="12" fillId="9" borderId="3" xfId="0" applyNumberFormat="1" applyFont="1" applyFill="1" applyBorder="1" applyAlignment="1">
      <alignment horizontal="left" vertical="center" wrapText="1"/>
    </xf>
    <xf numFmtId="0" fontId="14" fillId="9" borderId="7" xfId="0" applyFont="1" applyFill="1" applyBorder="1" applyAlignment="1">
      <alignment horizontal="left" vertical="center" wrapText="1"/>
    </xf>
    <xf numFmtId="49" fontId="5" fillId="6" borderId="3" xfId="0" quotePrefix="1" applyNumberFormat="1" applyFont="1" applyFill="1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5</xdr:row>
          <xdr:rowOff>95250</xdr:rowOff>
        </xdr:from>
        <xdr:to>
          <xdr:col>1</xdr:col>
          <xdr:colOff>804863</xdr:colOff>
          <xdr:row>5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7</xdr:row>
          <xdr:rowOff>90488</xdr:rowOff>
        </xdr:from>
        <xdr:to>
          <xdr:col>1</xdr:col>
          <xdr:colOff>809625</xdr:colOff>
          <xdr:row>7</xdr:row>
          <xdr:rowOff>347663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10</xdr:row>
          <xdr:rowOff>95250</xdr:rowOff>
        </xdr:from>
        <xdr:to>
          <xdr:col>1</xdr:col>
          <xdr:colOff>823913</xdr:colOff>
          <xdr:row>10</xdr:row>
          <xdr:rowOff>352425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13</xdr:row>
          <xdr:rowOff>61913</xdr:rowOff>
        </xdr:from>
        <xdr:to>
          <xdr:col>1</xdr:col>
          <xdr:colOff>838200</xdr:colOff>
          <xdr:row>13</xdr:row>
          <xdr:rowOff>304800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252413</xdr:colOff>
          <xdr:row>16</xdr:row>
          <xdr:rowOff>71438</xdr:rowOff>
        </xdr:from>
        <xdr:to>
          <xdr:col>1</xdr:col>
          <xdr:colOff>828675</xdr:colOff>
          <xdr:row>16</xdr:row>
          <xdr:rowOff>314325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18</xdr:row>
          <xdr:rowOff>95250</xdr:rowOff>
        </xdr:from>
        <xdr:to>
          <xdr:col>1</xdr:col>
          <xdr:colOff>823913</xdr:colOff>
          <xdr:row>18</xdr:row>
          <xdr:rowOff>352425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4</xdr:row>
          <xdr:rowOff>461963</xdr:rowOff>
        </xdr:from>
        <xdr:to>
          <xdr:col>2</xdr:col>
          <xdr:colOff>1290638</xdr:colOff>
          <xdr:row>4</xdr:row>
          <xdr:rowOff>704850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371475</xdr:rowOff>
        </xdr:from>
        <xdr:to>
          <xdr:col>2</xdr:col>
          <xdr:colOff>1309688</xdr:colOff>
          <xdr:row>6</xdr:row>
          <xdr:rowOff>609600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V19"/>
  <sheetViews>
    <sheetView showGridLines="0" topLeftCell="A13" zoomScale="115" zoomScaleNormal="115" workbookViewId="0">
      <selection activeCell="C18" sqref="C18"/>
    </sheetView>
  </sheetViews>
  <sheetFormatPr defaultColWidth="3.5625" defaultRowHeight="15"/>
  <cols>
    <col min="1" max="1" width="3.5625" style="2"/>
    <col min="2" max="2" width="12.3125" style="2" customWidth="1"/>
    <col min="3" max="3" width="21.6875" style="29" customWidth="1"/>
    <col min="4" max="16384" width="3.5625" style="2"/>
  </cols>
  <sheetData>
    <row r="1" spans="1:22" ht="22.15">
      <c r="A1" s="3" t="s">
        <v>14</v>
      </c>
    </row>
    <row r="2" spans="1:22">
      <c r="A2" s="2" t="s">
        <v>37</v>
      </c>
      <c r="B2" s="2" t="s">
        <v>89</v>
      </c>
    </row>
    <row r="3" spans="1:22">
      <c r="B3" s="7"/>
      <c r="D3" s="7" t="s">
        <v>58</v>
      </c>
    </row>
    <row r="4" spans="1:22" ht="15.4" thickBot="1">
      <c r="D4" s="20" t="s">
        <v>53</v>
      </c>
      <c r="E4" s="20" t="s">
        <v>54</v>
      </c>
      <c r="F4" s="20" t="s">
        <v>55</v>
      </c>
      <c r="G4" s="20" t="s">
        <v>56</v>
      </c>
      <c r="H4" s="20" t="s">
        <v>57</v>
      </c>
      <c r="I4" s="21" t="s">
        <v>59</v>
      </c>
      <c r="J4" s="21" t="s">
        <v>60</v>
      </c>
      <c r="K4" s="21" t="s">
        <v>61</v>
      </c>
      <c r="L4" s="21" t="s">
        <v>62</v>
      </c>
      <c r="M4" s="21" t="s">
        <v>63</v>
      </c>
      <c r="N4" s="21" t="s">
        <v>64</v>
      </c>
      <c r="O4" s="21" t="s">
        <v>65</v>
      </c>
      <c r="P4" s="22" t="s">
        <v>66</v>
      </c>
      <c r="Q4" s="22" t="s">
        <v>67</v>
      </c>
      <c r="R4" s="23" t="s">
        <v>68</v>
      </c>
      <c r="S4" s="23" t="s">
        <v>69</v>
      </c>
      <c r="T4" s="23" t="s">
        <v>70</v>
      </c>
      <c r="U4" s="22" t="s">
        <v>71</v>
      </c>
      <c r="V4" s="22" t="s">
        <v>72</v>
      </c>
    </row>
    <row r="5" spans="1:22" ht="16.899999999999999" thickBot="1">
      <c r="A5" s="10" t="s">
        <v>13</v>
      </c>
    </row>
    <row r="6" spans="1:22" ht="42" customHeight="1" thickBot="1">
      <c r="C6" s="30" t="s">
        <v>73</v>
      </c>
      <c r="D6" s="20" t="s">
        <v>53</v>
      </c>
      <c r="E6" s="20" t="s">
        <v>54</v>
      </c>
      <c r="P6" s="22" t="s">
        <v>66</v>
      </c>
      <c r="Q6" s="22" t="s">
        <v>67</v>
      </c>
    </row>
    <row r="7" spans="1:22" ht="11.65" customHeight="1" thickBot="1">
      <c r="P7" s="22"/>
      <c r="Q7" s="22"/>
    </row>
    <row r="8" spans="1:22" ht="88.15" customHeight="1" thickBot="1">
      <c r="C8" s="30" t="s">
        <v>39</v>
      </c>
      <c r="E8" s="20" t="s">
        <v>54</v>
      </c>
      <c r="I8" s="21" t="s">
        <v>59</v>
      </c>
      <c r="J8" s="21" t="s">
        <v>60</v>
      </c>
      <c r="K8" s="21" t="s">
        <v>61</v>
      </c>
      <c r="L8" s="21" t="s">
        <v>62</v>
      </c>
      <c r="P8" s="22" t="s">
        <v>66</v>
      </c>
      <c r="Q8" s="22" t="s">
        <v>67</v>
      </c>
      <c r="R8" s="23" t="s">
        <v>68</v>
      </c>
      <c r="S8" s="23" t="s">
        <v>69</v>
      </c>
      <c r="T8" s="23" t="s">
        <v>70</v>
      </c>
      <c r="U8" s="22" t="s">
        <v>71</v>
      </c>
      <c r="V8" s="22" t="s">
        <v>72</v>
      </c>
    </row>
    <row r="10" spans="1:22" ht="16.899999999999999" thickBot="1">
      <c r="A10" s="10" t="s">
        <v>12</v>
      </c>
    </row>
    <row r="11" spans="1:22" ht="64.900000000000006" customHeight="1" thickBot="1">
      <c r="C11" s="30" t="s">
        <v>32</v>
      </c>
      <c r="I11" s="21" t="s">
        <v>59</v>
      </c>
      <c r="J11" s="21" t="s">
        <v>60</v>
      </c>
      <c r="L11" s="21" t="s">
        <v>62</v>
      </c>
      <c r="P11" s="22" t="s">
        <v>66</v>
      </c>
      <c r="Q11" s="22" t="s">
        <v>67</v>
      </c>
      <c r="R11" s="23" t="s">
        <v>68</v>
      </c>
      <c r="S11" s="23" t="s">
        <v>69</v>
      </c>
      <c r="T11" s="23" t="s">
        <v>70</v>
      </c>
      <c r="U11" s="22" t="s">
        <v>71</v>
      </c>
      <c r="V11" s="22" t="s">
        <v>72</v>
      </c>
    </row>
    <row r="13" spans="1:22" ht="16.899999999999999" thickBot="1">
      <c r="A13" s="10" t="s">
        <v>38</v>
      </c>
    </row>
    <row r="14" spans="1:22" ht="62.25" customHeight="1" thickBot="1">
      <c r="C14" s="30" t="s">
        <v>40</v>
      </c>
      <c r="I14" s="21" t="s">
        <v>59</v>
      </c>
      <c r="J14" s="21" t="s">
        <v>60</v>
      </c>
      <c r="L14" s="21" t="s">
        <v>62</v>
      </c>
      <c r="P14" s="22" t="s">
        <v>66</v>
      </c>
      <c r="R14" s="23" t="s">
        <v>68</v>
      </c>
      <c r="S14" s="23" t="s">
        <v>69</v>
      </c>
      <c r="T14" s="23" t="s">
        <v>70</v>
      </c>
      <c r="U14" s="22" t="s">
        <v>71</v>
      </c>
      <c r="V14" s="22" t="s">
        <v>72</v>
      </c>
    </row>
    <row r="16" spans="1:22" ht="16.899999999999999" thickBot="1">
      <c r="A16" s="10" t="s">
        <v>41</v>
      </c>
    </row>
    <row r="17" spans="1:22" ht="168.4" thickBot="1">
      <c r="C17" s="30" t="s">
        <v>90</v>
      </c>
      <c r="G17" s="20" t="s">
        <v>56</v>
      </c>
      <c r="I17" s="21" t="s">
        <v>59</v>
      </c>
      <c r="J17" s="21" t="s">
        <v>60</v>
      </c>
      <c r="L17" s="21" t="s">
        <v>62</v>
      </c>
      <c r="P17" s="22" t="s">
        <v>66</v>
      </c>
      <c r="R17" s="23" t="s">
        <v>68</v>
      </c>
      <c r="S17" s="23" t="s">
        <v>69</v>
      </c>
      <c r="T17" s="23" t="s">
        <v>70</v>
      </c>
      <c r="U17" s="22" t="s">
        <v>71</v>
      </c>
      <c r="V17" s="22" t="s">
        <v>72</v>
      </c>
    </row>
    <row r="18" spans="1:22" ht="16.899999999999999" thickBot="1">
      <c r="A18" s="10" t="s">
        <v>85</v>
      </c>
    </row>
    <row r="19" spans="1:22" ht="64.900000000000006" customHeight="1" thickBot="1">
      <c r="C19" s="30" t="s">
        <v>86</v>
      </c>
      <c r="I19" s="21" t="s">
        <v>59</v>
      </c>
      <c r="J19" s="21" t="s">
        <v>60</v>
      </c>
      <c r="L19" s="21" t="s">
        <v>62</v>
      </c>
      <c r="P19" s="22" t="s">
        <v>66</v>
      </c>
      <c r="R19" s="23" t="s">
        <v>68</v>
      </c>
      <c r="S19" s="23" t="s">
        <v>69</v>
      </c>
      <c r="T19" s="23" t="s">
        <v>70</v>
      </c>
      <c r="V19" s="22" t="s">
        <v>72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0</xdr:col>
                    <xdr:colOff>204788</xdr:colOff>
                    <xdr:row>5</xdr:row>
                    <xdr:rowOff>95250</xdr:rowOff>
                  </from>
                  <to>
                    <xdr:col>1</xdr:col>
                    <xdr:colOff>804863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0</xdr:col>
                    <xdr:colOff>204788</xdr:colOff>
                    <xdr:row>7</xdr:row>
                    <xdr:rowOff>90488</xdr:rowOff>
                  </from>
                  <to>
                    <xdr:col>1</xdr:col>
                    <xdr:colOff>809625</xdr:colOff>
                    <xdr:row>7</xdr:row>
                    <xdr:rowOff>347663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un004_Click">
                <anchor moveWithCells="1" sizeWithCells="1">
                  <from>
                    <xdr:col>0</xdr:col>
                    <xdr:colOff>238125</xdr:colOff>
                    <xdr:row>13</xdr:row>
                    <xdr:rowOff>61913</xdr:rowOff>
                  </from>
                  <to>
                    <xdr:col>1</xdr:col>
                    <xdr:colOff>838200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Run005_Click">
                <anchor moveWithCells="1" sizeWithCells="1">
                  <from>
                    <xdr:col>0</xdr:col>
                    <xdr:colOff>252413</xdr:colOff>
                    <xdr:row>16</xdr:row>
                    <xdr:rowOff>71438</xdr:rowOff>
                  </from>
                  <to>
                    <xdr:col>1</xdr:col>
                    <xdr:colOff>828675</xdr:colOff>
                    <xdr:row>16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un003_Click">
                <anchor moveWithCells="1" sizeWithCells="1">
                  <from>
                    <xdr:col>0</xdr:col>
                    <xdr:colOff>200025</xdr:colOff>
                    <xdr:row>10</xdr:row>
                    <xdr:rowOff>95250</xdr:rowOff>
                  </from>
                  <to>
                    <xdr:col>1</xdr:col>
                    <xdr:colOff>823913</xdr:colOff>
                    <xdr:row>10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Run006_Click">
                <anchor moveWithCells="1" sizeWithCells="1">
                  <from>
                    <xdr:col>0</xdr:col>
                    <xdr:colOff>200025</xdr:colOff>
                    <xdr:row>18</xdr:row>
                    <xdr:rowOff>95250</xdr:rowOff>
                  </from>
                  <to>
                    <xdr:col>1</xdr:col>
                    <xdr:colOff>823913</xdr:colOff>
                    <xdr:row>18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3"/>
  <sheetViews>
    <sheetView showGridLines="0" tabSelected="1" zoomScale="115" zoomScaleNormal="115" workbookViewId="0">
      <selection activeCell="I9" sqref="I9:X9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8" width="6.9375" style="2" customWidth="1"/>
    <col min="9" max="9" width="14.625" style="2" customWidth="1"/>
    <col min="10" max="10" width="13.875" style="2" customWidth="1"/>
    <col min="11" max="11" width="23.875" style="2" bestFit="1" customWidth="1"/>
    <col min="12" max="12" width="5.9375" style="2" customWidth="1"/>
    <col min="13" max="16384" width="3.5625" style="2"/>
  </cols>
  <sheetData>
    <row r="1" spans="1:24" ht="22.15">
      <c r="A1" s="3" t="s">
        <v>15</v>
      </c>
    </row>
    <row r="2" spans="1:24">
      <c r="A2" s="7" t="s">
        <v>11</v>
      </c>
      <c r="D2" s="7" t="s">
        <v>11</v>
      </c>
    </row>
    <row r="4" spans="1:24" ht="15.4" thickBot="1">
      <c r="B4" s="1" t="s">
        <v>16</v>
      </c>
      <c r="I4" s="15" t="s">
        <v>2</v>
      </c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7"/>
    </row>
    <row r="5" spans="1:24" s="4" customFormat="1" ht="35.25" customHeight="1" thickBot="1">
      <c r="C5" s="14" t="s">
        <v>43</v>
      </c>
      <c r="D5" s="31" t="s">
        <v>36</v>
      </c>
      <c r="E5" s="32"/>
      <c r="F5" s="32"/>
      <c r="G5" s="32"/>
      <c r="H5" s="33"/>
      <c r="I5" s="11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3"/>
    </row>
    <row r="6" spans="1:24" s="4" customFormat="1" ht="35.25" customHeight="1" thickBot="1">
      <c r="C6" s="14" t="s">
        <v>42</v>
      </c>
      <c r="D6" s="31" t="s">
        <v>9</v>
      </c>
      <c r="E6" s="32"/>
      <c r="F6" s="32"/>
      <c r="G6" s="32"/>
      <c r="H6" s="33"/>
      <c r="I6" s="11" t="s">
        <v>1</v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3"/>
    </row>
    <row r="7" spans="1:24" s="4" customFormat="1" ht="16.149999999999999" customHeight="1" thickBot="1">
      <c r="C7" s="14" t="s">
        <v>34</v>
      </c>
      <c r="D7" s="31"/>
      <c r="E7" s="32"/>
      <c r="F7" s="32"/>
      <c r="G7" s="32"/>
      <c r="H7" s="33"/>
      <c r="I7" s="11" t="s">
        <v>35</v>
      </c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3"/>
    </row>
    <row r="8" spans="1:24" s="4" customFormat="1" ht="18" thickBot="1">
      <c r="C8" s="14" t="s">
        <v>0</v>
      </c>
      <c r="D8" s="31" t="s">
        <v>91</v>
      </c>
      <c r="E8" s="32"/>
      <c r="F8" s="32"/>
      <c r="G8" s="32"/>
      <c r="H8" s="33"/>
      <c r="I8" s="11" t="s">
        <v>24</v>
      </c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3"/>
    </row>
    <row r="9" spans="1:24" s="4" customFormat="1" ht="27.75" customHeight="1" thickBot="1">
      <c r="C9" s="14" t="s">
        <v>95</v>
      </c>
      <c r="D9" s="31" t="s">
        <v>92</v>
      </c>
      <c r="E9" s="32"/>
      <c r="F9" s="32"/>
      <c r="G9" s="32"/>
      <c r="H9" s="33"/>
      <c r="I9" s="39" t="s">
        <v>93</v>
      </c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38"/>
    </row>
    <row r="10" spans="1:24" s="4" customFormat="1" ht="49.5" customHeight="1" thickBot="1">
      <c r="C10" s="14" t="s">
        <v>96</v>
      </c>
      <c r="D10" s="43" t="s">
        <v>97</v>
      </c>
      <c r="E10" s="37"/>
      <c r="F10" s="37"/>
      <c r="G10" s="37"/>
      <c r="H10" s="38"/>
      <c r="I10" s="39" t="s">
        <v>94</v>
      </c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38"/>
    </row>
    <row r="12" spans="1:24" ht="15.4" thickBot="1">
      <c r="B12" s="1" t="s">
        <v>17</v>
      </c>
      <c r="I12" s="15" t="s">
        <v>2</v>
      </c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7"/>
    </row>
    <row r="13" spans="1:24" s="4" customFormat="1" ht="32.65" customHeight="1" thickBot="1">
      <c r="C13" s="19" t="s">
        <v>5</v>
      </c>
      <c r="D13" s="34" t="s">
        <v>4</v>
      </c>
      <c r="E13" s="35"/>
      <c r="F13" s="35"/>
      <c r="G13" s="35"/>
      <c r="H13" s="36"/>
      <c r="I13" s="11" t="s">
        <v>6</v>
      </c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3"/>
    </row>
    <row r="14" spans="1:24" s="4" customFormat="1" ht="15.4" customHeight="1" thickBot="1">
      <c r="C14" s="19" t="s">
        <v>44</v>
      </c>
      <c r="D14" s="34" t="s">
        <v>10</v>
      </c>
      <c r="E14" s="35"/>
      <c r="F14" s="35"/>
      <c r="G14" s="35"/>
      <c r="H14" s="36"/>
      <c r="I14" s="11" t="s">
        <v>1</v>
      </c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3"/>
    </row>
    <row r="15" spans="1:24" s="4" customFormat="1" ht="18" thickBot="1">
      <c r="C15" s="19" t="s">
        <v>45</v>
      </c>
      <c r="D15" s="34" t="s">
        <v>20</v>
      </c>
      <c r="E15" s="35"/>
      <c r="F15" s="35"/>
      <c r="G15" s="35"/>
      <c r="H15" s="36"/>
      <c r="I15" s="11" t="s">
        <v>7</v>
      </c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3"/>
    </row>
    <row r="16" spans="1:24" s="4" customFormat="1" ht="18" thickBot="1">
      <c r="C16" s="19" t="s">
        <v>46</v>
      </c>
      <c r="D16" s="34" t="s">
        <v>79</v>
      </c>
      <c r="E16" s="35"/>
      <c r="F16" s="35"/>
      <c r="G16" s="35"/>
      <c r="H16" s="36"/>
      <c r="I16" s="11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3"/>
    </row>
    <row r="17" spans="1:24" s="4" customFormat="1" ht="18" thickBot="1">
      <c r="C17" s="19" t="s">
        <v>19</v>
      </c>
      <c r="D17" s="41" t="s">
        <v>27</v>
      </c>
      <c r="E17" s="42"/>
      <c r="F17" s="42"/>
      <c r="G17" s="42"/>
      <c r="H17" s="33"/>
      <c r="I17" s="11" t="s">
        <v>23</v>
      </c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3"/>
    </row>
    <row r="18" spans="1:24" s="4" customFormat="1" ht="18" thickBot="1">
      <c r="C18" s="19" t="s">
        <v>74</v>
      </c>
      <c r="D18" s="41" t="s">
        <v>25</v>
      </c>
      <c r="E18" s="42"/>
      <c r="F18" s="42"/>
      <c r="G18" s="42"/>
      <c r="H18" s="33"/>
      <c r="I18" s="11" t="s">
        <v>23</v>
      </c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3"/>
    </row>
    <row r="19" spans="1:24" s="4" customFormat="1" ht="18" customHeight="1" thickBot="1">
      <c r="C19" s="19" t="s">
        <v>31</v>
      </c>
      <c r="D19" s="34" t="s">
        <v>25</v>
      </c>
      <c r="E19" s="35"/>
      <c r="F19" s="35"/>
      <c r="G19" s="35"/>
      <c r="H19" s="36"/>
      <c r="I19" s="11" t="s">
        <v>33</v>
      </c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3"/>
    </row>
    <row r="21" spans="1:24" ht="15.4" thickBot="1">
      <c r="I21" s="15" t="s">
        <v>2</v>
      </c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7"/>
    </row>
    <row r="22" spans="1:24" ht="15.4" thickBot="1">
      <c r="B22" s="1" t="s">
        <v>18</v>
      </c>
      <c r="I22" s="11" t="s">
        <v>75</v>
      </c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3"/>
    </row>
    <row r="23" spans="1:24" s="4" customFormat="1" ht="43.5" customHeight="1" thickBot="1">
      <c r="B23" s="22" t="s">
        <v>22</v>
      </c>
      <c r="C23" s="22" t="s">
        <v>47</v>
      </c>
      <c r="D23" s="23" t="s">
        <v>48</v>
      </c>
      <c r="E23" s="23" t="s">
        <v>49</v>
      </c>
      <c r="F23" s="23" t="s">
        <v>50</v>
      </c>
      <c r="G23" s="22" t="s">
        <v>51</v>
      </c>
      <c r="H23" s="22" t="s">
        <v>52</v>
      </c>
      <c r="I23" s="18" t="s">
        <v>28</v>
      </c>
      <c r="J23" s="18" t="s">
        <v>29</v>
      </c>
      <c r="K23" s="18" t="s">
        <v>30</v>
      </c>
    </row>
    <row r="24" spans="1:24" s="4" customFormat="1" ht="12.4" thickBot="1">
      <c r="A24" s="4" t="s">
        <v>8</v>
      </c>
      <c r="B24" s="24" t="s">
        <v>76</v>
      </c>
      <c r="C24" s="25"/>
      <c r="D24" s="26" t="s">
        <v>8</v>
      </c>
      <c r="E24" s="26" t="s">
        <v>8</v>
      </c>
      <c r="F24" s="26" t="s">
        <v>3</v>
      </c>
      <c r="G24" s="27">
        <v>1</v>
      </c>
      <c r="H24" s="25" t="s">
        <v>88</v>
      </c>
      <c r="I24" s="5" t="str">
        <f t="shared" ref="I24:I43" si="0">"fe_" &amp; F24 &amp; "#" &amp; TEXT(G24,"00000")</f>
        <v>fe_PID_1#00001</v>
      </c>
      <c r="J24" s="5" t="str">
        <f t="shared" ref="J24:J43" si="1">"[COMMIT] " &amp; F24</f>
        <v>[COMMIT] PID_1</v>
      </c>
      <c r="K24" s="5" t="str">
        <f>"TAG-" &amp; "LO" &amp; D24 &amp; "-PH" &amp; E24 &amp; "-STEP" &amp; H24 &amp; "-" &amp;  F24</f>
        <v>TAG-LO1-PH1-STEP1.?-PID_1</v>
      </c>
      <c r="L24" s="4" t="s">
        <v>87</v>
      </c>
    </row>
    <row r="25" spans="1:24" s="4" customFormat="1" ht="12.4" thickBot="1">
      <c r="A25" s="4">
        <f>A24+1</f>
        <v>2</v>
      </c>
      <c r="B25" s="24"/>
      <c r="C25" s="25"/>
      <c r="D25" s="26"/>
      <c r="E25" s="26"/>
      <c r="F25" s="26"/>
      <c r="G25" s="27"/>
      <c r="H25" s="25"/>
      <c r="I25" s="5" t="str">
        <f t="shared" si="0"/>
        <v>fe_#00000</v>
      </c>
      <c r="J25" s="5" t="str">
        <f t="shared" si="1"/>
        <v xml:space="preserve">[COMMIT] </v>
      </c>
      <c r="K25" s="5" t="str">
        <f t="shared" ref="K25:K43" si="2">"TAG-" &amp; "LO" &amp; D25 &amp; "-PH" &amp; E25 &amp; "-STEP" &amp; H25 &amp; "-" &amp;  F25</f>
        <v>TAG-LO-PH-STEP-</v>
      </c>
    </row>
    <row r="26" spans="1:24" s="4" customFormat="1" ht="12">
      <c r="A26" s="4">
        <f t="shared" ref="A26:A43" si="3">A25+1</f>
        <v>3</v>
      </c>
      <c r="B26" s="24"/>
      <c r="C26" s="25"/>
      <c r="D26" s="26"/>
      <c r="E26" s="26"/>
      <c r="F26" s="26"/>
      <c r="G26" s="27"/>
      <c r="H26" s="25"/>
      <c r="I26" s="5" t="str">
        <f t="shared" si="0"/>
        <v>fe_#00000</v>
      </c>
      <c r="J26" s="5" t="str">
        <f t="shared" si="1"/>
        <v xml:space="preserve">[COMMIT] </v>
      </c>
      <c r="K26" s="5" t="str">
        <f t="shared" si="2"/>
        <v>TAG-LO-PH-STEP-</v>
      </c>
    </row>
    <row r="27" spans="1:24" s="4" customFormat="1" ht="12.4" thickBot="1">
      <c r="A27" s="4">
        <f t="shared" si="3"/>
        <v>4</v>
      </c>
      <c r="B27" s="24"/>
      <c r="C27" s="25"/>
      <c r="D27" s="26"/>
      <c r="E27" s="26"/>
      <c r="F27" s="26"/>
      <c r="G27" s="27"/>
      <c r="H27" s="25"/>
      <c r="I27" s="5" t="str">
        <f t="shared" ref="I27:I28" si="4">"fe_" &amp; F27 &amp; "#" &amp; TEXT(G27,"00000")</f>
        <v>fe_#00000</v>
      </c>
      <c r="J27" s="5" t="str">
        <f t="shared" ref="J27:J28" si="5">"[COMMIT] " &amp; F27</f>
        <v xml:space="preserve">[COMMIT] </v>
      </c>
      <c r="K27" s="5" t="str">
        <f>"TAG-" &amp; "LO" &amp; D27 &amp; "-PH" &amp; E27 &amp; "-STEP" &amp; H27 &amp; "-" &amp;  F27</f>
        <v>TAG-LO-PH-STEP-</v>
      </c>
    </row>
    <row r="28" spans="1:24" s="4" customFormat="1" ht="12.4" thickBot="1">
      <c r="A28" s="4">
        <f t="shared" si="3"/>
        <v>5</v>
      </c>
      <c r="B28" s="24"/>
      <c r="C28" s="25"/>
      <c r="D28" s="26"/>
      <c r="E28" s="26"/>
      <c r="F28" s="26"/>
      <c r="G28" s="27"/>
      <c r="H28" s="25"/>
      <c r="I28" s="5" t="str">
        <f t="shared" si="4"/>
        <v>fe_#00000</v>
      </c>
      <c r="J28" s="5" t="str">
        <f t="shared" si="5"/>
        <v xml:space="preserve">[COMMIT] </v>
      </c>
      <c r="K28" s="5" t="str">
        <f t="shared" ref="K28" si="6">"TAG-" &amp; "LO" &amp; D28 &amp; "-PH" &amp; E28 &amp; "-STEP" &amp; H28 &amp; "-" &amp;  F28</f>
        <v>TAG-LO-PH-STEP-</v>
      </c>
    </row>
    <row r="29" spans="1:24" s="4" customFormat="1" ht="12.4" thickBot="1">
      <c r="A29" s="4">
        <f t="shared" si="3"/>
        <v>6</v>
      </c>
      <c r="B29" s="24"/>
      <c r="C29" s="25"/>
      <c r="D29" s="26"/>
      <c r="E29" s="26"/>
      <c r="F29" s="26"/>
      <c r="G29" s="27"/>
      <c r="H29" s="25"/>
      <c r="I29" s="5" t="str">
        <f t="shared" si="0"/>
        <v>fe_#00000</v>
      </c>
      <c r="J29" s="5" t="str">
        <f t="shared" si="1"/>
        <v xml:space="preserve">[COMMIT] </v>
      </c>
      <c r="K29" s="5" t="str">
        <f t="shared" si="2"/>
        <v>TAG-LO-PH-STEP-</v>
      </c>
    </row>
    <row r="30" spans="1:24" s="4" customFormat="1" ht="12.4" thickBot="1">
      <c r="A30" s="4">
        <f t="shared" si="3"/>
        <v>7</v>
      </c>
      <c r="B30" s="24"/>
      <c r="C30" s="25"/>
      <c r="D30" s="26"/>
      <c r="E30" s="26"/>
      <c r="F30" s="26"/>
      <c r="G30" s="27"/>
      <c r="H30" s="25"/>
      <c r="I30" s="5" t="str">
        <f t="shared" si="0"/>
        <v>fe_#00000</v>
      </c>
      <c r="J30" s="5" t="str">
        <f t="shared" si="1"/>
        <v xml:space="preserve">[COMMIT] </v>
      </c>
      <c r="K30" s="5" t="str">
        <f t="shared" si="2"/>
        <v>TAG-LO-PH-STEP-</v>
      </c>
    </row>
    <row r="31" spans="1:24" s="4" customFormat="1" ht="12.4" thickBot="1">
      <c r="A31" s="4">
        <f t="shared" si="3"/>
        <v>8</v>
      </c>
      <c r="B31" s="24"/>
      <c r="C31" s="25"/>
      <c r="D31" s="26"/>
      <c r="E31" s="26"/>
      <c r="F31" s="26"/>
      <c r="G31" s="27"/>
      <c r="H31" s="25"/>
      <c r="I31" s="5" t="str">
        <f t="shared" si="0"/>
        <v>fe_#00000</v>
      </c>
      <c r="J31" s="5" t="str">
        <f t="shared" si="1"/>
        <v xml:space="preserve">[COMMIT] </v>
      </c>
      <c r="K31" s="5" t="str">
        <f t="shared" si="2"/>
        <v>TAG-LO-PH-STEP-</v>
      </c>
    </row>
    <row r="32" spans="1:24" s="4" customFormat="1" ht="12.4" thickBot="1">
      <c r="A32" s="4">
        <f t="shared" si="3"/>
        <v>9</v>
      </c>
      <c r="B32" s="24"/>
      <c r="C32" s="25"/>
      <c r="D32" s="26"/>
      <c r="E32" s="26"/>
      <c r="F32" s="26"/>
      <c r="G32" s="27"/>
      <c r="H32" s="25"/>
      <c r="I32" s="5" t="str">
        <f t="shared" si="0"/>
        <v>fe_#00000</v>
      </c>
      <c r="J32" s="5" t="str">
        <f t="shared" si="1"/>
        <v xml:space="preserve">[COMMIT] </v>
      </c>
      <c r="K32" s="5" t="str">
        <f t="shared" si="2"/>
        <v>TAG-LO-PH-STEP-</v>
      </c>
    </row>
    <row r="33" spans="1:12" s="4" customFormat="1" ht="12.4" thickBot="1">
      <c r="A33" s="4">
        <f t="shared" si="3"/>
        <v>10</v>
      </c>
      <c r="B33" s="24"/>
      <c r="C33" s="25"/>
      <c r="D33" s="26"/>
      <c r="E33" s="26"/>
      <c r="F33" s="26"/>
      <c r="G33" s="27"/>
      <c r="H33" s="25"/>
      <c r="I33" s="5" t="str">
        <f t="shared" si="0"/>
        <v>fe_#00000</v>
      </c>
      <c r="J33" s="5" t="str">
        <f t="shared" si="1"/>
        <v xml:space="preserve">[COMMIT] </v>
      </c>
      <c r="K33" s="5" t="str">
        <f t="shared" si="2"/>
        <v>TAG-LO-PH-STEP-</v>
      </c>
    </row>
    <row r="34" spans="1:12" s="4" customFormat="1" ht="12.4" thickBot="1">
      <c r="A34" s="4">
        <f t="shared" si="3"/>
        <v>11</v>
      </c>
      <c r="B34" s="24"/>
      <c r="C34" s="25"/>
      <c r="D34" s="26"/>
      <c r="E34" s="26"/>
      <c r="F34" s="26"/>
      <c r="G34" s="27"/>
      <c r="H34" s="25"/>
      <c r="I34" s="5" t="str">
        <f t="shared" si="0"/>
        <v>fe_#00000</v>
      </c>
      <c r="J34" s="5" t="str">
        <f t="shared" si="1"/>
        <v xml:space="preserve">[COMMIT] </v>
      </c>
      <c r="K34" s="5" t="str">
        <f t="shared" si="2"/>
        <v>TAG-LO-PH-STEP-</v>
      </c>
    </row>
    <row r="35" spans="1:12" s="4" customFormat="1" ht="12.4" thickBot="1">
      <c r="A35" s="4">
        <f t="shared" si="3"/>
        <v>12</v>
      </c>
      <c r="B35" s="24"/>
      <c r="C35" s="25"/>
      <c r="D35" s="26"/>
      <c r="E35" s="26"/>
      <c r="F35" s="26"/>
      <c r="G35" s="27"/>
      <c r="H35" s="25"/>
      <c r="I35" s="5" t="str">
        <f t="shared" si="0"/>
        <v>fe_#00000</v>
      </c>
      <c r="J35" s="5" t="str">
        <f t="shared" si="1"/>
        <v xml:space="preserve">[COMMIT] </v>
      </c>
      <c r="K35" s="5" t="str">
        <f t="shared" si="2"/>
        <v>TAG-LO-PH-STEP-</v>
      </c>
    </row>
    <row r="36" spans="1:12" s="4" customFormat="1" ht="12.4" thickBot="1">
      <c r="A36" s="4">
        <f t="shared" si="3"/>
        <v>13</v>
      </c>
      <c r="B36" s="24"/>
      <c r="C36" s="25"/>
      <c r="D36" s="26"/>
      <c r="E36" s="26"/>
      <c r="F36" s="26"/>
      <c r="G36" s="27"/>
      <c r="H36" s="25"/>
      <c r="I36" s="5" t="str">
        <f t="shared" si="0"/>
        <v>fe_#00000</v>
      </c>
      <c r="J36" s="5" t="str">
        <f t="shared" si="1"/>
        <v xml:space="preserve">[COMMIT] </v>
      </c>
      <c r="K36" s="5" t="str">
        <f t="shared" si="2"/>
        <v>TAG-LO-PH-STEP-</v>
      </c>
    </row>
    <row r="37" spans="1:12" s="4" customFormat="1" ht="12.4" thickBot="1">
      <c r="A37" s="4">
        <f t="shared" si="3"/>
        <v>14</v>
      </c>
      <c r="B37" s="24"/>
      <c r="C37" s="25"/>
      <c r="D37" s="26"/>
      <c r="E37" s="26"/>
      <c r="F37" s="26"/>
      <c r="G37" s="27"/>
      <c r="H37" s="25"/>
      <c r="I37" s="5" t="str">
        <f t="shared" si="0"/>
        <v>fe_#00000</v>
      </c>
      <c r="J37" s="5" t="str">
        <f t="shared" si="1"/>
        <v xml:space="preserve">[COMMIT] </v>
      </c>
      <c r="K37" s="5" t="str">
        <f t="shared" si="2"/>
        <v>TAG-LO-PH-STEP-</v>
      </c>
    </row>
    <row r="38" spans="1:12" s="4" customFormat="1" ht="12.4" thickBot="1">
      <c r="A38" s="4">
        <f t="shared" si="3"/>
        <v>15</v>
      </c>
      <c r="B38" s="24" t="s">
        <v>76</v>
      </c>
      <c r="C38" s="25" t="s">
        <v>26</v>
      </c>
      <c r="D38" s="26"/>
      <c r="E38" s="26"/>
      <c r="F38" s="26"/>
      <c r="G38" s="27"/>
      <c r="H38" s="25"/>
      <c r="I38" s="5" t="str">
        <f t="shared" si="0"/>
        <v>fe_#00000</v>
      </c>
      <c r="J38" s="5" t="str">
        <f t="shared" si="1"/>
        <v xml:space="preserve">[COMMIT] </v>
      </c>
      <c r="K38" s="5" t="str">
        <f t="shared" si="2"/>
        <v>TAG-LO-PH-STEP-</v>
      </c>
      <c r="L38" s="4" t="s">
        <v>77</v>
      </c>
    </row>
    <row r="39" spans="1:12" s="4" customFormat="1" ht="12.4" thickBot="1">
      <c r="A39" s="4">
        <f t="shared" si="3"/>
        <v>16</v>
      </c>
      <c r="B39" s="24" t="s">
        <v>76</v>
      </c>
      <c r="C39" s="25" t="s">
        <v>26</v>
      </c>
      <c r="D39" s="26" t="s">
        <v>8</v>
      </c>
      <c r="E39" s="26" t="s">
        <v>8</v>
      </c>
      <c r="F39" s="26" t="s">
        <v>3</v>
      </c>
      <c r="G39" s="27">
        <v>1</v>
      </c>
      <c r="H39" s="25">
        <v>1.1000000000000001</v>
      </c>
      <c r="I39" s="5" t="str">
        <f t="shared" ref="I39:I42" si="7">"fe_" &amp; F39 &amp; "#" &amp; TEXT(G39,"00000")</f>
        <v>fe_PID_1#00001</v>
      </c>
      <c r="J39" s="5" t="str">
        <f t="shared" ref="J39:J42" si="8">"[COMMIT] " &amp; F39</f>
        <v>[COMMIT] PID_1</v>
      </c>
      <c r="K39" s="5" t="str">
        <f>"TAG-" &amp; "LO" &amp; D39 &amp; "-PH" &amp; E39 &amp; "-STEP" &amp; H39 &amp; "-" &amp;  F39</f>
        <v>TAG-LO1-PH1-STEP1.1-PID_1</v>
      </c>
      <c r="L39" s="4" t="s">
        <v>78</v>
      </c>
    </row>
    <row r="40" spans="1:12" s="4" customFormat="1" ht="12.4" thickBot="1">
      <c r="A40" s="4">
        <f t="shared" si="3"/>
        <v>17</v>
      </c>
      <c r="B40" s="24" t="s">
        <v>76</v>
      </c>
      <c r="C40" s="25" t="s">
        <v>26</v>
      </c>
      <c r="D40" s="26" t="s">
        <v>8</v>
      </c>
      <c r="E40" s="26" t="s">
        <v>8</v>
      </c>
      <c r="F40" s="26" t="s">
        <v>3</v>
      </c>
      <c r="G40" s="27">
        <v>1</v>
      </c>
      <c r="H40" s="25">
        <v>1.1000000000000001</v>
      </c>
      <c r="I40" s="5" t="str">
        <f t="shared" si="7"/>
        <v>fe_PID_1#00001</v>
      </c>
      <c r="J40" s="5" t="str">
        <f t="shared" si="8"/>
        <v>[COMMIT] PID_1</v>
      </c>
      <c r="K40" s="5" t="str">
        <f>"TAG-" &amp; "LO" &amp; D40 &amp; "-PH" &amp; E40 &amp; "-STEP" &amp; H40 &amp; "-" &amp;  F40</f>
        <v>TAG-LO1-PH1-STEP1.1-PID_1</v>
      </c>
      <c r="L40" s="4" t="s">
        <v>80</v>
      </c>
    </row>
    <row r="41" spans="1:12" s="4" customFormat="1" ht="12.4" thickBot="1">
      <c r="A41" s="4">
        <f t="shared" si="3"/>
        <v>18</v>
      </c>
      <c r="B41" s="24" t="s">
        <v>76</v>
      </c>
      <c r="C41" s="25"/>
      <c r="D41" s="26" t="s">
        <v>8</v>
      </c>
      <c r="E41" s="26" t="s">
        <v>8</v>
      </c>
      <c r="F41" s="26" t="s">
        <v>3</v>
      </c>
      <c r="G41" s="27">
        <v>1</v>
      </c>
      <c r="H41" s="25" t="s">
        <v>81</v>
      </c>
      <c r="I41" s="5" t="str">
        <f t="shared" si="7"/>
        <v>fe_PID_1#00001</v>
      </c>
      <c r="J41" s="5" t="str">
        <f t="shared" si="8"/>
        <v>[COMMIT] PID_1</v>
      </c>
      <c r="K41" s="5" t="str">
        <f>"TAG-" &amp; "LO" &amp; D41 &amp; "-PH" &amp; E41 &amp; "-STEP" &amp; H41 &amp; "-" &amp;  F41</f>
        <v>TAG-LO1-PH1-STEP1.5-PID_1</v>
      </c>
      <c r="L41" s="4" t="s">
        <v>82</v>
      </c>
    </row>
    <row r="42" spans="1:12" s="4" customFormat="1" ht="12.4" thickBot="1">
      <c r="A42" s="4">
        <f t="shared" si="3"/>
        <v>19</v>
      </c>
      <c r="B42" s="24" t="s">
        <v>76</v>
      </c>
      <c r="C42" s="25"/>
      <c r="D42" s="26" t="s">
        <v>8</v>
      </c>
      <c r="E42" s="26" t="s">
        <v>8</v>
      </c>
      <c r="F42" s="26" t="s">
        <v>3</v>
      </c>
      <c r="G42" s="27">
        <v>1</v>
      </c>
      <c r="H42" s="25" t="s">
        <v>84</v>
      </c>
      <c r="I42" s="5" t="str">
        <f t="shared" si="7"/>
        <v>fe_PID_1#00001</v>
      </c>
      <c r="J42" s="5" t="str">
        <f t="shared" si="8"/>
        <v>[COMMIT] PID_1</v>
      </c>
      <c r="K42" s="5" t="str">
        <f>"TAG-" &amp; "LO" &amp; D42 &amp; "-PH" &amp; E42 &amp; "-STEP" &amp; H42 &amp; "-" &amp;  F42</f>
        <v>TAG-LO1-PH1-STEP1.6-PID_1</v>
      </c>
      <c r="L42" s="4" t="s">
        <v>83</v>
      </c>
    </row>
    <row r="43" spans="1:12" s="4" customFormat="1" ht="12.4" thickBot="1">
      <c r="A43" s="4">
        <f t="shared" si="3"/>
        <v>20</v>
      </c>
      <c r="B43" s="24" t="s">
        <v>76</v>
      </c>
      <c r="C43" s="25"/>
      <c r="D43" s="26" t="s">
        <v>8</v>
      </c>
      <c r="E43" s="26" t="s">
        <v>8</v>
      </c>
      <c r="F43" s="26" t="s">
        <v>3</v>
      </c>
      <c r="G43" s="27">
        <v>1</v>
      </c>
      <c r="H43" s="25" t="s">
        <v>88</v>
      </c>
      <c r="I43" s="5" t="str">
        <f t="shared" si="0"/>
        <v>fe_PID_1#00001</v>
      </c>
      <c r="J43" s="5" t="str">
        <f t="shared" si="1"/>
        <v>[COMMIT] PID_1</v>
      </c>
      <c r="K43" s="5" t="str">
        <f t="shared" si="2"/>
        <v>TAG-LO1-PH1-STEP1.?-PID_1</v>
      </c>
      <c r="L43" s="4" t="s">
        <v>87</v>
      </c>
    </row>
  </sheetData>
  <mergeCells count="15">
    <mergeCell ref="I10:X10"/>
    <mergeCell ref="I9:X9"/>
    <mergeCell ref="D19:H19"/>
    <mergeCell ref="D15:H15"/>
    <mergeCell ref="D16:H16"/>
    <mergeCell ref="D17:H17"/>
    <mergeCell ref="D18:H18"/>
    <mergeCell ref="D5:H5"/>
    <mergeCell ref="D6:H6"/>
    <mergeCell ref="D8:H8"/>
    <mergeCell ref="D13:H13"/>
    <mergeCell ref="D14:H14"/>
    <mergeCell ref="D7:H7"/>
    <mergeCell ref="D9:H9"/>
    <mergeCell ref="D10:H10"/>
  </mergeCells>
  <phoneticPr fontId="1"/>
  <dataValidations count="2">
    <dataValidation type="list" allowBlank="1" showInputMessage="1" showErrorMessage="1" sqref="D17:D19 D8" xr:uid="{B4A3B225-9897-40C9-94F4-263A99389ED8}">
      <formula1>"YES,NO"</formula1>
    </dataValidation>
    <dataValidation type="list" allowBlank="1" showInputMessage="1" showErrorMessage="1" sqref="B24:B43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4:A25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X7"/>
  <sheetViews>
    <sheetView showGridLines="0" zoomScaleNormal="100" workbookViewId="0">
      <selection activeCell="U7" sqref="U7"/>
    </sheetView>
  </sheetViews>
  <sheetFormatPr defaultColWidth="3.5625" defaultRowHeight="15"/>
  <cols>
    <col min="1" max="1" width="3.5625" style="8"/>
    <col min="2" max="2" width="4.5" style="8" customWidth="1"/>
    <col min="3" max="3" width="18.0625" style="8" customWidth="1"/>
    <col min="4" max="22" width="3.5625" style="28"/>
    <col min="23" max="16384" width="3.5625" style="8"/>
  </cols>
  <sheetData>
    <row r="1" spans="1:24" ht="22.15">
      <c r="A1" s="9" t="s">
        <v>21</v>
      </c>
    </row>
    <row r="2" spans="1:24">
      <c r="D2" s="6" t="s">
        <v>58</v>
      </c>
    </row>
    <row r="3" spans="1:24" ht="22.9" customHeight="1" thickBot="1">
      <c r="B3" s="6"/>
      <c r="C3" s="6"/>
      <c r="D3" s="20" t="s">
        <v>53</v>
      </c>
      <c r="E3" s="20" t="s">
        <v>54</v>
      </c>
      <c r="F3" s="20" t="s">
        <v>55</v>
      </c>
      <c r="G3" s="20" t="s">
        <v>56</v>
      </c>
      <c r="H3" s="20" t="s">
        <v>57</v>
      </c>
      <c r="I3" s="21" t="s">
        <v>59</v>
      </c>
      <c r="J3" s="21" t="s">
        <v>60</v>
      </c>
      <c r="K3" s="21" t="s">
        <v>61</v>
      </c>
      <c r="L3" s="21" t="s">
        <v>62</v>
      </c>
      <c r="M3" s="21" t="s">
        <v>63</v>
      </c>
      <c r="N3" s="21" t="s">
        <v>64</v>
      </c>
      <c r="O3" s="21" t="s">
        <v>65</v>
      </c>
      <c r="P3" s="22" t="s">
        <v>66</v>
      </c>
      <c r="Q3" s="22" t="s">
        <v>67</v>
      </c>
      <c r="R3" s="23" t="s">
        <v>68</v>
      </c>
      <c r="S3" s="23" t="s">
        <v>69</v>
      </c>
      <c r="T3" s="23" t="s">
        <v>70</v>
      </c>
      <c r="U3" s="22" t="s">
        <v>71</v>
      </c>
      <c r="V3" s="22" t="s">
        <v>72</v>
      </c>
    </row>
    <row r="5" spans="1:24" ht="88.15" customHeight="1" thickBot="1">
      <c r="I5" s="21" t="s">
        <v>59</v>
      </c>
      <c r="J5" s="21" t="s">
        <v>60</v>
      </c>
      <c r="L5" s="21" t="s">
        <v>62</v>
      </c>
      <c r="P5" s="22" t="s">
        <v>66</v>
      </c>
      <c r="R5" s="23" t="s">
        <v>68</v>
      </c>
      <c r="S5" s="23" t="s">
        <v>69</v>
      </c>
      <c r="T5" s="23" t="s">
        <v>70</v>
      </c>
      <c r="U5" s="22" t="s">
        <v>71</v>
      </c>
    </row>
    <row r="6" spans="1:24" ht="10.15" customHeight="1">
      <c r="W6" s="28"/>
      <c r="X6" s="28"/>
    </row>
    <row r="7" spans="1:24" ht="78" customHeight="1" thickBot="1">
      <c r="I7" s="21" t="s">
        <v>59</v>
      </c>
      <c r="J7" s="21" t="s">
        <v>60</v>
      </c>
      <c r="L7" s="21" t="s">
        <v>62</v>
      </c>
      <c r="P7" s="22" t="s">
        <v>66</v>
      </c>
      <c r="R7" s="23" t="s">
        <v>68</v>
      </c>
      <c r="S7" s="23" t="s">
        <v>69</v>
      </c>
      <c r="T7" s="23" t="s">
        <v>70</v>
      </c>
      <c r="V7" s="22" t="s">
        <v>72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4</xdr:row>
                    <xdr:rowOff>461963</xdr:rowOff>
                  </from>
                  <to>
                    <xdr:col>2</xdr:col>
                    <xdr:colOff>1290638</xdr:colOff>
                    <xdr:row>4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6</xdr:row>
                    <xdr:rowOff>371475</xdr:rowOff>
                  </from>
                  <to>
                    <xdr:col>2</xdr:col>
                    <xdr:colOff>1309688</xdr:colOff>
                    <xdr:row>6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params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2023-09-11T11:13:38Z</dcterms:modified>
</cp:coreProperties>
</file>