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B48563F8-AEB6-4AD7-943A-69D38892B052}" xr6:coauthVersionLast="47" xr6:coauthVersionMax="47" xr10:uidLastSave="{00000000-0000-0000-0000-000000000000}"/>
  <bookViews>
    <workbookView xWindow="-98" yWindow="-98" windowWidth="22695" windowHeight="14476" tabRatio="682" xr2:uid="{00000000-000D-0000-FFFF-FFFF00000000}"/>
  </bookViews>
  <sheets>
    <sheet name="main" sheetId="2" r:id="rId1"/>
    <sheet name="params" sheetId="1" r:id="rId2"/>
    <sheet name="danger_zone" sheetId="3" r:id="rId3"/>
    <sheet name="デグレ確認手順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0" i="4" l="1"/>
  <c r="K40" i="4"/>
  <c r="J40" i="4"/>
  <c r="L85" i="4"/>
  <c r="K85" i="4"/>
  <c r="J85" i="4"/>
  <c r="L84" i="4"/>
  <c r="K84" i="4"/>
  <c r="J84" i="4"/>
  <c r="L83" i="4"/>
  <c r="K83" i="4"/>
  <c r="J83" i="4"/>
  <c r="L82" i="4"/>
  <c r="K82" i="4"/>
  <c r="J82" i="4"/>
  <c r="L81" i="4"/>
  <c r="K81" i="4"/>
  <c r="J81" i="4"/>
  <c r="L80" i="4"/>
  <c r="K80" i="4"/>
  <c r="J80" i="4"/>
  <c r="L79" i="4"/>
  <c r="K79" i="4"/>
  <c r="J79" i="4"/>
  <c r="L39" i="4"/>
  <c r="K39" i="4"/>
  <c r="J39" i="4"/>
  <c r="L38" i="4"/>
  <c r="K38" i="4"/>
  <c r="J38" i="4"/>
  <c r="L37" i="4"/>
  <c r="K37" i="4"/>
  <c r="J37" i="4"/>
  <c r="L58" i="4"/>
  <c r="K58" i="4"/>
  <c r="J58" i="4"/>
  <c r="L57" i="4"/>
  <c r="K57" i="4"/>
  <c r="J57" i="4"/>
  <c r="L56" i="4"/>
  <c r="K56" i="4"/>
  <c r="J56" i="4"/>
  <c r="L52" i="4"/>
  <c r="K52" i="4"/>
  <c r="J52" i="4"/>
  <c r="L51" i="4"/>
  <c r="K51" i="4"/>
  <c r="J51" i="4"/>
  <c r="L50" i="4"/>
  <c r="K50" i="4"/>
  <c r="J50" i="4"/>
  <c r="L64" i="4"/>
  <c r="K64" i="4"/>
  <c r="J64" i="4"/>
  <c r="L63" i="4"/>
  <c r="K63" i="4"/>
  <c r="J63" i="4"/>
  <c r="L62" i="4"/>
  <c r="K62" i="4"/>
  <c r="J62" i="4"/>
  <c r="L72" i="4"/>
  <c r="K72" i="4"/>
  <c r="J72" i="4"/>
  <c r="L71" i="4"/>
  <c r="K71" i="4"/>
  <c r="J71" i="4"/>
  <c r="L70" i="4"/>
  <c r="K70" i="4"/>
  <c r="J70" i="4"/>
  <c r="L46" i="4"/>
  <c r="K46" i="4"/>
  <c r="J46" i="4"/>
  <c r="L35" i="4"/>
  <c r="K35" i="4"/>
  <c r="J35" i="4"/>
  <c r="L36" i="4"/>
  <c r="K36" i="4"/>
  <c r="J36" i="4"/>
  <c r="L27" i="4"/>
  <c r="K27" i="4"/>
  <c r="J27" i="4"/>
  <c r="L25" i="1"/>
  <c r="K25" i="1"/>
  <c r="J25" i="1"/>
  <c r="L24" i="1"/>
  <c r="K24" i="1"/>
  <c r="J24" i="1"/>
  <c r="L45" i="4"/>
  <c r="K45" i="4"/>
  <c r="J45" i="4"/>
  <c r="L34" i="4"/>
  <c r="K34" i="4"/>
  <c r="J34" i="4"/>
  <c r="L44" i="1"/>
  <c r="K44" i="1"/>
  <c r="J44" i="1"/>
  <c r="L43" i="1"/>
  <c r="K43" i="1"/>
  <c r="J43" i="1"/>
  <c r="L42" i="1"/>
  <c r="K42" i="1"/>
  <c r="J42" i="1"/>
  <c r="L41" i="1"/>
  <c r="K41" i="1"/>
  <c r="J41" i="1"/>
  <c r="L40" i="1"/>
  <c r="K40" i="1"/>
  <c r="J40" i="1"/>
  <c r="L39" i="1"/>
  <c r="K39" i="1"/>
  <c r="J39" i="1"/>
  <c r="L38" i="1"/>
  <c r="K38" i="1"/>
  <c r="J38" i="1"/>
  <c r="L37" i="1"/>
  <c r="K37" i="1"/>
  <c r="J37" i="1"/>
  <c r="L36" i="1"/>
  <c r="K36" i="1"/>
  <c r="J36" i="1"/>
  <c r="L35" i="1"/>
  <c r="K35" i="1"/>
  <c r="J35" i="1"/>
  <c r="L34" i="1"/>
  <c r="K34" i="1"/>
  <c r="J34" i="1"/>
  <c r="L33" i="1"/>
  <c r="K33" i="1"/>
  <c r="J33" i="1"/>
  <c r="L32" i="1"/>
  <c r="K32" i="1"/>
  <c r="J32" i="1"/>
  <c r="L31" i="1"/>
  <c r="K31" i="1"/>
  <c r="J31" i="1"/>
  <c r="L30" i="1"/>
  <c r="K30" i="1"/>
  <c r="J30" i="1"/>
  <c r="L29" i="1"/>
  <c r="K29" i="1"/>
  <c r="J29" i="1"/>
  <c r="L28" i="1"/>
  <c r="K28" i="1"/>
  <c r="J28" i="1"/>
  <c r="L44" i="4"/>
  <c r="K44" i="4"/>
  <c r="J44" i="4"/>
  <c r="L26" i="4"/>
  <c r="K26" i="4"/>
  <c r="J26" i="4"/>
  <c r="L25" i="4"/>
  <c r="K25" i="4"/>
  <c r="J25" i="4"/>
  <c r="L27" i="1"/>
  <c r="K27" i="1"/>
  <c r="J27" i="1"/>
  <c r="L26" i="1"/>
  <c r="A25" i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K26" i="1"/>
  <c r="J26" i="1"/>
</calcChain>
</file>

<file path=xl/sharedStrings.xml><?xml version="1.0" encoding="utf-8"?>
<sst xmlns="http://schemas.openxmlformats.org/spreadsheetml/2006/main" count="461" uniqueCount="130">
  <si>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</si>
  <si>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</si>
  <si>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</si>
  <si>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PID_1</t>
    <phoneticPr fontId="1"/>
  </si>
  <si>
    <t>https://github.com/mtk57/GIT_0020</t>
    <phoneticPr fontId="1"/>
  </si>
  <si>
    <t>(A)GitリポジトリURL</t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</si>
  <si>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</si>
  <si>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</si>
  <si>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1</t>
    <phoneticPr fontId="1"/>
  </si>
  <si>
    <t>C:\_tmp\Worker01_wk</t>
    <phoneticPr fontId="1"/>
  </si>
  <si>
    <t>C:\_git_wk\GIT_0020</t>
    <phoneticPr fontId="1"/>
  </si>
  <si>
    <t/>
  </si>
  <si>
    <t>タグ収集</t>
    <rPh sb="2" eb="4">
      <t>シュウ</t>
    </rPh>
    <phoneticPr fontId="1"/>
  </si>
  <si>
    <t>ブランチ作成</t>
    <phoneticPr fontId="1"/>
  </si>
  <si>
    <t>自動化メニュー</t>
    <rPh sb="0" eb="3">
      <t>ジドウカ</t>
    </rPh>
    <phoneticPr fontId="1"/>
  </si>
  <si>
    <t>Parameters</t>
    <phoneticPr fontId="1"/>
  </si>
  <si>
    <t>[Common]</t>
    <phoneticPr fontId="1"/>
  </si>
  <si>
    <t>[Git]</t>
    <phoneticPr fontId="1"/>
  </si>
  <si>
    <t>[Target]</t>
    <phoneticPr fontId="1"/>
  </si>
  <si>
    <t>(E)リモートブランチを更新する</t>
    <rPh sb="12" eb="14">
      <t>コウシン</t>
    </rPh>
    <phoneticPr fontId="1"/>
  </si>
  <si>
    <t>Zsrc</t>
    <phoneticPr fontId="1"/>
  </si>
  <si>
    <t>Danger　zone</t>
    <phoneticPr fontId="1"/>
  </si>
  <si>
    <t>(0)有効無効</t>
    <rPh sb="3" eb="7">
      <t>ユウコウムコウ</t>
    </rPh>
    <phoneticPr fontId="1"/>
  </si>
  <si>
    <t>未指定はNOとする。</t>
    <phoneticPr fontId="1"/>
  </si>
  <si>
    <t>未指定はNOとする。</t>
    <rPh sb="0" eb="3">
      <t>ミシテイ</t>
    </rPh>
    <phoneticPr fontId="1"/>
  </si>
  <si>
    <t>YES</t>
  </si>
  <si>
    <t>C:\_git_wk\GIT_0010\SRC_010\Zsrc\DSizing\testA\testA.vbp</t>
    <phoneticPr fontId="1"/>
  </si>
  <si>
    <t>NO</t>
  </si>
  <si>
    <t>(7)Branch</t>
    <phoneticPr fontId="1"/>
  </si>
  <si>
    <t>(8)Commit</t>
    <phoneticPr fontId="1"/>
  </si>
  <si>
    <t>(9)Tag</t>
    <phoneticPr fontId="1"/>
  </si>
  <si>
    <t>(G)VBプロジェクト未参照ファイルを除外</t>
    <rPh sb="11" eb="12">
      <t>ミ</t>
    </rPh>
    <rPh sb="12" eb="14">
      <t>サンショウ</t>
    </rPh>
    <rPh sb="19" eb="21">
      <t>ジョガイ</t>
    </rPh>
    <phoneticPr fontId="1"/>
  </si>
  <si>
    <t>1.(B)に(A)をクローンする。
2.(D)にスイッチする。
3.(9)タグをzipで②に出力する。
    →対象プロジェクトが参照するファイルのみを出力する場合は(G)を参照する。
4.3を[Target]の行数分繰り返す。</t>
    <rPh sb="46" eb="48">
      <t>シュツ</t>
    </rPh>
    <rPh sb="57" eb="59">
      <t>タイショウ</t>
    </rPh>
    <rPh sb="66" eb="68">
      <t>サン</t>
    </rPh>
    <rPh sb="77" eb="79">
      <t>シュ</t>
    </rPh>
    <rPh sb="81" eb="83">
      <t>バアイ</t>
    </rPh>
    <rPh sb="88" eb="90">
      <t>サンショウ</t>
    </rPh>
    <rPh sb="107" eb="109">
      <t>ギョウスウ</t>
    </rPh>
    <rPh sb="109" eb="110">
      <t>ブン</t>
    </rPh>
    <rPh sb="110" eb="111">
      <t>ク</t>
    </rPh>
    <rPh sb="112" eb="113">
      <t>カエ</t>
    </rPh>
    <phoneticPr fontId="1"/>
  </si>
  <si>
    <t>タグ収集時に参照。未指定はNOとする。YESを指定する場合は、(9)に正規表現を使用しないこと。</t>
    <rPh sb="2" eb="4">
      <t>シュウ</t>
    </rPh>
    <rPh sb="4" eb="5">
      <t>ジ</t>
    </rPh>
    <rPh sb="6" eb="8">
      <t>サンショウ</t>
    </rPh>
    <rPh sb="9" eb="12">
      <t>ミシテイ</t>
    </rPh>
    <rPh sb="23" eb="25">
      <t>シテイ</t>
    </rPh>
    <rPh sb="27" eb="29">
      <t>バアイ</t>
    </rPh>
    <rPh sb="35" eb="39">
      <t>セ</t>
    </rPh>
    <rPh sb="40" eb="42">
      <t>シヨウ</t>
    </rPh>
    <phoneticPr fontId="1"/>
  </si>
  <si>
    <t>③収集除外ファイル</t>
    <rPh sb="1" eb="3">
      <t>シュウ</t>
    </rPh>
    <rPh sb="3" eb="5">
      <t>ジョガイ</t>
    </rPh>
    <phoneticPr fontId="1"/>
  </si>
  <si>
    <t>複数ある場合は半角カンマで区切る。</t>
    <rPh sb="0" eb="2">
      <t>フク</t>
    </rPh>
    <rPh sb="4" eb="6">
      <t>バアイ</t>
    </rPh>
    <rPh sb="7" eb="9">
      <t>ハン</t>
    </rPh>
    <rPh sb="13" eb="15">
      <t>クギ</t>
    </rPh>
    <phoneticPr fontId="1"/>
  </si>
  <si>
    <t>C:\_git\PublicMemo\VBA\VbProjCollector\VBProjCollector.xlsm</t>
    <phoneticPr fontId="1"/>
  </si>
  <si>
    <t>ver.</t>
    <phoneticPr fontId="1"/>
  </si>
  <si>
    <t>指定ブランチのHEADにタグ打ち</t>
    <rPh sb="0" eb="2">
      <t>シテイ</t>
    </rPh>
    <rPh sb="14" eb="15">
      <t>ウ</t>
    </rPh>
    <phoneticPr fontId="1"/>
  </si>
  <si>
    <t>1.(B)に(A)をクローンする。
2.(D)にスイッチする。
3.(7)ブランチを作成する。
4.②のフォルダをコピーして(8)コミットする。(コピーは②\(C)配下を(B)\(C)にコピーするので注意)
5.(9)タグをつけてプッシュする。(STEP1.1以外はNG)
6.2～5を[Target]の行数分繰り返す。</t>
    <rPh sb="42" eb="44">
      <t>サクセイ</t>
    </rPh>
    <rPh sb="82" eb="84">
      <t>ハイカ</t>
    </rPh>
    <rPh sb="100" eb="102">
      <t>チュウイ</t>
    </rPh>
    <rPh sb="152" eb="154">
      <t>ギョウスウ</t>
    </rPh>
    <rPh sb="154" eb="155">
      <t>ブン</t>
    </rPh>
    <rPh sb="155" eb="156">
      <t>ク</t>
    </rPh>
    <rPh sb="157" eb="158">
      <t>カエ</t>
    </rPh>
    <phoneticPr fontId="1"/>
  </si>
  <si>
    <t xml:space="preserve">②VBプロジェクトファイルを収集するフォルダパス(絶対パス) </t>
    <rPh sb="14" eb="16">
      <t>シュウシュウ</t>
    </rPh>
    <phoneticPr fontId="1"/>
  </si>
  <si>
    <t xml:space="preserve">①外部ツールファイルパス(絶対パス) </t>
    <phoneticPr fontId="1"/>
  </si>
  <si>
    <t xml:space="preserve">(B)Gitフォルダパス(絶対パス) </t>
    <phoneticPr fontId="1"/>
  </si>
  <si>
    <t>(C)起点フォルダ名</t>
    <rPh sb="3" eb="5">
      <t>キテン</t>
    </rPh>
    <rPh sb="9" eb="10">
      <t>メイ</t>
    </rPh>
    <phoneticPr fontId="1"/>
  </si>
  <si>
    <t xml:space="preserve">(D)ベースブランチ名 </t>
    <rPh sb="10" eb="11">
      <t>メイ</t>
    </rPh>
    <phoneticPr fontId="1"/>
  </si>
  <si>
    <t>(1)VBプロジェクトファイルの絶対パス</t>
    <rPh sb="16" eb="18">
      <t>ゼッタイ</t>
    </rPh>
    <phoneticPr fontId="1"/>
  </si>
  <si>
    <t>(2)Lot</t>
    <phoneticPr fontId="1"/>
  </si>
  <si>
    <t>(3)Phase</t>
    <phoneticPr fontId="1"/>
  </si>
  <si>
    <t>(4)PID</t>
    <phoneticPr fontId="1"/>
  </si>
  <si>
    <t>(5)Redmine#</t>
    <phoneticPr fontId="1"/>
  </si>
  <si>
    <t>(6)STEP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</si>
  <si>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</si>
  <si>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</si>
  <si>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</si>
  <si>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</si>
  <si>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</si>
  <si>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★必須パラメータ</t>
    <rPh sb="1" eb="3">
      <t>ヒッス</t>
    </rPh>
    <phoneticPr fontId="1"/>
  </si>
  <si>
    <t>(A)</t>
    <phoneticPr fontId="1"/>
  </si>
  <si>
    <t>(B)</t>
    <phoneticPr fontId="1"/>
  </si>
  <si>
    <t>(C)</t>
    <phoneticPr fontId="1"/>
  </si>
  <si>
    <t>(D)</t>
    <phoneticPr fontId="1"/>
  </si>
  <si>
    <t>(E)</t>
    <phoneticPr fontId="1"/>
  </si>
  <si>
    <t>(F)</t>
    <phoneticPr fontId="1"/>
  </si>
  <si>
    <t>(G)</t>
    <phoneticPr fontId="1"/>
  </si>
  <si>
    <t>(0)</t>
    <phoneticPr fontId="1"/>
  </si>
  <si>
    <t>(1)</t>
    <phoneticPr fontId="1"/>
  </si>
  <si>
    <t>(2)</t>
    <phoneticPr fontId="1"/>
  </si>
  <si>
    <t>(3)</t>
    <phoneticPr fontId="1"/>
  </si>
  <si>
    <t>(4)</t>
    <phoneticPr fontId="1"/>
  </si>
  <si>
    <t>(5)</t>
    <phoneticPr fontId="1"/>
  </si>
  <si>
    <t>(6)</t>
    <phoneticPr fontId="1"/>
  </si>
  <si>
    <t>1.(1)のVBプロジェクトファイル(C24～Cnn)を②に収集する。</t>
    <rPh sb="30" eb="32">
      <t>シュウシュウ</t>
    </rPh>
    <phoneticPr fontId="1"/>
  </si>
  <si>
    <t>(F)(7)が存在した場合は削除する</t>
    <rPh sb="7" eb="9">
      <t>ソンザイ</t>
    </rPh>
    <rPh sb="11" eb="13">
      <t>バアイ</t>
    </rPh>
    <rPh sb="14" eb="16">
      <t>サク</t>
    </rPh>
    <phoneticPr fontId="1"/>
  </si>
  <si>
    <r>
      <rPr>
        <b/>
        <sz val="9"/>
        <color rgb="FFFF0000"/>
        <rFont val="Meiryo UI"/>
        <family val="3"/>
        <charset val="128"/>
      </rPr>
      <t>黄色セルは式</t>
    </r>
    <r>
      <rPr>
        <sz val="9"/>
        <color rgb="FFFF0000"/>
        <rFont val="Meiryo UI"/>
        <family val="3"/>
        <charset val="128"/>
      </rPr>
      <t>が入っているので変更しないこと</t>
    </r>
    <r>
      <rPr>
        <sz val="9"/>
        <color theme="1"/>
        <rFont val="Meiryo UI"/>
        <family val="3"/>
        <charset val="128"/>
      </rPr>
      <t>。(0)が空セルになるまで検索する。(9)は正規表現指定可能。</t>
    </r>
    <rPh sb="26" eb="27">
      <t>カラ</t>
    </rPh>
    <rPh sb="34" eb="36">
      <t>ケ</t>
    </rPh>
    <rPh sb="43" eb="47">
      <t>セイキ</t>
    </rPh>
    <rPh sb="47" eb="51">
      <t>シテイカノウ</t>
    </rPh>
    <phoneticPr fontId="1"/>
  </si>
  <si>
    <t>Enable</t>
    <phoneticPr fontId="1"/>
  </si>
  <si>
    <t>develop1</t>
    <phoneticPr fontId="1"/>
  </si>
  <si>
    <t>1.5</t>
    <phoneticPr fontId="1"/>
  </si>
  <si>
    <t>1.6</t>
    <phoneticPr fontId="1"/>
  </si>
  <si>
    <t>タグ一覧出力</t>
    <rPh sb="2" eb="4">
      <t>イチラン</t>
    </rPh>
    <rPh sb="4" eb="6">
      <t>シュツリョク</t>
    </rPh>
    <phoneticPr fontId="1"/>
  </si>
  <si>
    <t>1.(B)に(A)をクローンする。
2.(9)タグをtxtで②に出力する。
3.2を[Target]の行数分繰り返す。</t>
    <rPh sb="32" eb="34">
      <t>シュツ</t>
    </rPh>
    <rPh sb="51" eb="53">
      <t>ギョウスウ</t>
    </rPh>
    <rPh sb="53" eb="54">
      <t>ブン</t>
    </rPh>
    <rPh sb="54" eb="55">
      <t>ク</t>
    </rPh>
    <rPh sb="56" eb="57">
      <t>カエ</t>
    </rPh>
    <phoneticPr fontId="1"/>
  </si>
  <si>
    <t>1.?</t>
    <phoneticPr fontId="1"/>
  </si>
  <si>
    <t>NO</t>
    <phoneticPr fontId="1"/>
  </si>
  <si>
    <t>"C:\Program Files (x86)\sakura\sakura.exe"</t>
    <phoneticPr fontId="1"/>
  </si>
  <si>
    <t>本ツールではダブルクォーテーションは付けないので、パスに半角スペースを含む場合は""で囲むこと。(含まなくても""で囲んでもよい)</t>
    <rPh sb="0" eb="1">
      <t>ホン</t>
    </rPh>
    <rPh sb="18" eb="19">
      <t>ツ</t>
    </rPh>
    <rPh sb="28" eb="30">
      <t>ハンカク</t>
    </rPh>
    <rPh sb="35" eb="36">
      <t>フク</t>
    </rPh>
    <rPh sb="37" eb="39">
      <t>バアイ</t>
    </rPh>
    <rPh sb="43" eb="44">
      <t>カコ</t>
    </rPh>
    <rPh sb="49" eb="50">
      <t>フク</t>
    </rPh>
    <rPh sb="58" eb="59">
      <t>カコ</t>
    </rPh>
    <phoneticPr fontId="1"/>
  </si>
  <si>
    <r>
      <t xml:space="preserve">引数の仕様についてはsakuraの公式サイトを参照すること。
複数ある場合は改行する。
</t>
    </r>
    <r>
      <rPr>
        <b/>
        <sz val="9"/>
        <color rgb="FFFF0000"/>
        <rFont val="Meiryo UI"/>
        <family val="3"/>
        <charset val="128"/>
      </rPr>
      <t>実行前に赤字ボールドの内容が正しいことを確認すること。</t>
    </r>
    <r>
      <rPr>
        <sz val="9"/>
        <color theme="1"/>
        <rFont val="Meiryo UI"/>
        <family val="3"/>
        <charset val="128"/>
      </rPr>
      <t xml:space="preserve">
本ツールではダブルクォーテーションは付けないので、パス等に半角スペースを含む場合は""で囲むこと。(含まなくても""で囲んでもよい)</t>
    </r>
    <rPh sb="0" eb="2">
      <t>ヒキスウ</t>
    </rPh>
    <rPh sb="3" eb="5">
      <t>シヨウ</t>
    </rPh>
    <rPh sb="17" eb="19">
      <t>コウシキ</t>
    </rPh>
    <rPh sb="23" eb="25">
      <t>サンショウ</t>
    </rPh>
    <rPh sb="31" eb="33">
      <t>フクスウ</t>
    </rPh>
    <rPh sb="35" eb="37">
      <t>バアイ</t>
    </rPh>
    <rPh sb="38" eb="40">
      <t>カイギョウ</t>
    </rPh>
    <rPh sb="99" eb="100">
      <t>ナド</t>
    </rPh>
    <phoneticPr fontId="1"/>
  </si>
  <si>
    <t xml:space="preserve">④sakuraエディタのパス(絶対パス) </t>
    <phoneticPr fontId="1"/>
  </si>
  <si>
    <t>⑤sakuraに渡す引数</t>
    <rPh sb="8" eb="9">
      <t>ワタ</t>
    </rPh>
    <rPh sb="10" eb="12">
      <t>ヒキスウ</t>
    </rPh>
    <phoneticPr fontId="1"/>
  </si>
  <si>
    <t>C:\_git_wk\GIT_0010\SRC_010\Zsrc\DSizing\testB\testB.vbproj</t>
    <phoneticPr fontId="1"/>
  </si>
  <si>
    <t>デグレ確認手順</t>
    <phoneticPr fontId="1"/>
  </si>
  <si>
    <t>途中で変更</t>
    <rPh sb="0" eb="2">
      <t>トチュウ</t>
    </rPh>
    <rPh sb="3" eb="5">
      <t>ヘンコウ</t>
    </rPh>
    <phoneticPr fontId="1"/>
  </si>
  <si>
    <t>なし</t>
    <phoneticPr fontId="1"/>
  </si>
  <si>
    <r>
      <rPr>
        <b/>
        <sz val="11"/>
        <color rgb="FFFF0000"/>
        <rFont val="Meiryo UI"/>
        <family val="3"/>
        <charset val="128"/>
      </rPr>
      <t>1.6.0</t>
    </r>
    <r>
      <rPr>
        <sz val="11"/>
        <color theme="1"/>
        <rFont val="Meiryo UI"/>
        <family val="3"/>
        <charset val="128"/>
      </rPr>
      <t>以降</t>
    </r>
    <rPh sb="5" eb="7">
      <t>イコウ</t>
    </rPh>
    <phoneticPr fontId="1"/>
  </si>
  <si>
    <t>Run001</t>
    <phoneticPr fontId="1"/>
  </si>
  <si>
    <t>DeleteBranch</t>
    <phoneticPr fontId="1"/>
  </si>
  <si>
    <t>DeleteTag</t>
    <phoneticPr fontId="1"/>
  </si>
  <si>
    <t>1.1</t>
    <phoneticPr fontId="1"/>
  </si>
  <si>
    <t>PID_2</t>
    <phoneticPr fontId="1"/>
  </si>
  <si>
    <t>Run002実行前は、GIT_0020には、master, developブランチのみ。タグは1つもないこと。ある場合は以下で消しておく。</t>
    <rPh sb="6" eb="8">
      <t>ジッコウ</t>
    </rPh>
    <rPh sb="8" eb="9">
      <t>マエ</t>
    </rPh>
    <rPh sb="57" eb="59">
      <t>バアイ</t>
    </rPh>
    <rPh sb="60" eb="62">
      <t>イカ</t>
    </rPh>
    <rPh sb="63" eb="64">
      <t>ケ</t>
    </rPh>
    <phoneticPr fontId="1"/>
  </si>
  <si>
    <t>→(6)に正規表現は不可。</t>
    <rPh sb="5" eb="9">
      <t>セイ</t>
    </rPh>
    <rPh sb="10" eb="12">
      <t>フカ</t>
    </rPh>
    <phoneticPr fontId="1"/>
  </si>
  <si>
    <t>Run002</t>
    <phoneticPr fontId="1"/>
  </si>
  <si>
    <t>C:\_git_wk\GIT_0010\SRC_010\Zsrc\DSizing\testC\全角プロジェクト.vbp</t>
    <phoneticPr fontId="1"/>
  </si>
  <si>
    <t>PID_3</t>
    <phoneticPr fontId="1"/>
  </si>
  <si>
    <t>Run003</t>
    <phoneticPr fontId="1"/>
  </si>
  <si>
    <t>※(D)にブランチがマージされていること。</t>
    <phoneticPr fontId="1"/>
  </si>
  <si>
    <t>Run006</t>
    <phoneticPr fontId="1"/>
  </si>
  <si>
    <t>→(6)に正規表現は可。</t>
    <rPh sb="5" eb="9">
      <t>セイ</t>
    </rPh>
    <rPh sb="10" eb="11">
      <t>カ</t>
    </rPh>
    <phoneticPr fontId="1"/>
  </si>
  <si>
    <t>Run004</t>
    <phoneticPr fontId="1"/>
  </si>
  <si>
    <t>Run005</t>
    <phoneticPr fontId="1"/>
  </si>
  <si>
    <t>指定ブランチに対してSakuraを実行</t>
    <rPh sb="0" eb="2">
      <t>シテイ</t>
    </rPh>
    <rPh sb="7" eb="8">
      <t>タイ</t>
    </rPh>
    <rPh sb="17" eb="19">
      <t>ジッコウ</t>
    </rPh>
    <phoneticPr fontId="1"/>
  </si>
  <si>
    <t>(6a)DestBaseDir</t>
    <phoneticPr fontId="1"/>
  </si>
  <si>
    <t>SRC_020</t>
    <phoneticPr fontId="1"/>
  </si>
  <si>
    <t>(6a)</t>
    <phoneticPr fontId="1"/>
  </si>
  <si>
    <t>C:\_git_wk\GIT_0010\SRC_020\Zsrc\DSizing\testA\testA.vbp</t>
    <phoneticPr fontId="1"/>
  </si>
  <si>
    <t>C:\_git_wk\GIT_0010\SRC_020\Zsrc\DSizing\testB\testB.vbproj</t>
    <phoneticPr fontId="1"/>
  </si>
  <si>
    <t>C:\_git_wk\GIT_0010\SRC_020\Zsrc\DSizing\testC\全角プロジェクト.vbp</t>
    <phoneticPr fontId="1"/>
  </si>
  <si>
    <t>C:\_git_wk\GIT_0020\SRC_020\Zsrc\DSizing\testA\testA.vbp</t>
    <phoneticPr fontId="1"/>
  </si>
  <si>
    <t>C:\_git_wk\GIT_0020\SRC_020\Zsrc\DSizing\testB\testB.vbproj</t>
    <phoneticPr fontId="1"/>
  </si>
  <si>
    <t>C:\_git_wk\GIT_0020\SRC_020\Zsrc\DSizing\testC\全角プロジェクト.vbp</t>
    <phoneticPr fontId="1"/>
  </si>
  <si>
    <r>
      <t>-GREPMODE
-GKEY=</t>
    </r>
    <r>
      <rPr>
        <b/>
        <sz val="9"/>
        <color rgb="FFFF0000"/>
        <rFont val="Meiryo UI"/>
        <family val="3"/>
        <charset val="128"/>
      </rPr>
      <t>"hoge"</t>
    </r>
    <r>
      <rPr>
        <sz val="9"/>
        <color theme="1"/>
        <rFont val="Meiryo UI"/>
        <family val="3"/>
        <charset val="128"/>
      </rPr>
      <t xml:space="preserve">
-GREPR=</t>
    </r>
    <r>
      <rPr>
        <b/>
        <sz val="9"/>
        <color rgb="FFFF0000"/>
        <rFont val="Meiryo UI"/>
        <family val="3"/>
        <charset val="128"/>
      </rPr>
      <t>"moge"</t>
    </r>
    <r>
      <rPr>
        <sz val="9"/>
        <color theme="1"/>
        <rFont val="Meiryo UI"/>
        <family val="3"/>
        <charset val="128"/>
      </rPr>
      <t xml:space="preserve">
-GFILE=</t>
    </r>
    <r>
      <rPr>
        <b/>
        <sz val="9"/>
        <color rgb="FFFF0000"/>
        <rFont val="Meiryo UI"/>
        <family val="3"/>
        <charset val="128"/>
      </rPr>
      <t>"*.vb"</t>
    </r>
    <r>
      <rPr>
        <sz val="9"/>
        <color theme="1"/>
        <rFont val="Meiryo UI"/>
        <family val="3"/>
        <charset val="128"/>
      </rPr>
      <t xml:space="preserve">
-GFOLDER=</t>
    </r>
    <r>
      <rPr>
        <b/>
        <sz val="9"/>
        <color rgb="FFFF0000"/>
        <rFont val="Meiryo UI"/>
        <family val="3"/>
        <charset val="128"/>
      </rPr>
      <t>"C:\_git_wk\GIT_0020\SRC_020"</t>
    </r>
    <r>
      <rPr>
        <sz val="9"/>
        <color theme="1"/>
        <rFont val="Meiryo UI"/>
        <family val="3"/>
        <charset val="128"/>
      </rPr>
      <t xml:space="preserve">
-GCODE=99
-GOPT=SRU</t>
    </r>
    <phoneticPr fontId="1"/>
  </si>
  <si>
    <t>Run003実行前は、GIT_0020のでdevelopにRun002で作成したブランチがすべてマージされていること。</t>
    <rPh sb="6" eb="8">
      <t>ジッコウ</t>
    </rPh>
    <rPh sb="8" eb="9">
      <t>マエ</t>
    </rPh>
    <rPh sb="36" eb="38">
      <t>サクセイ</t>
    </rPh>
    <phoneticPr fontId="1"/>
  </si>
  <si>
    <t>デグレ確認はでdevelopのリセットと以下を行う。</t>
    <rPh sb="3" eb="5">
      <t>カクニン</t>
    </rPh>
    <rPh sb="20" eb="22">
      <t>イカ</t>
    </rPh>
    <rPh sb="23" eb="24">
      <t>オコナ</t>
    </rPh>
    <phoneticPr fontId="1"/>
  </si>
  <si>
    <t>developのリセット</t>
    <phoneticPr fontId="1"/>
  </si>
  <si>
    <t>→testA～testCフォルダを削除してコミットでもよい。</t>
    <rPh sb="17" eb="19">
      <t>サクジョ</t>
    </rPh>
    <phoneticPr fontId="1"/>
  </si>
  <si>
    <t>使用パラメータ</t>
    <rPh sb="0" eb="2">
      <t>シヨウ</t>
    </rPh>
    <phoneticPr fontId="1"/>
  </si>
  <si>
    <t>1.(B)に(A)をクローンする。
2.(D)にスイッチしてプルする。
3.(7)にスイッチしてプルする。
4.(D)を(7)にマージする。(ファストフォワード)
5.(1)のVBプロジェクトのファイルに対して④のsakuraを実行する。
6.(8)コミットする。
7.(9)タグをつけてプッシュする。
8.(D)にスイッチする。
9.(7)を(D)にマージする。(ファストフォワード)
10.2～9を[Target]の行数分繰り返す。
11.プッシュする。(D)</t>
    <rPh sb="102" eb="103">
      <t>タイ</t>
    </rPh>
    <rPh sb="114" eb="116">
      <t>ジッコウ</t>
    </rPh>
    <rPh sb="210" eb="212">
      <t>ギョウスウ</t>
    </rPh>
    <rPh sb="212" eb="213">
      <t>ブン</t>
    </rPh>
    <rPh sb="213" eb="214">
      <t>ク</t>
    </rPh>
    <rPh sb="215" eb="216">
      <t>カエ</t>
    </rPh>
    <phoneticPr fontId="1"/>
  </si>
  <si>
    <t>→(6)に正規表現不可</t>
    <rPh sb="5" eb="9">
      <t>セイキ</t>
    </rPh>
    <rPh sb="9" eb="11">
      <t>フカ</t>
    </rPh>
    <phoneticPr fontId="1"/>
  </si>
  <si>
    <t>→(6)に正規表現可</t>
    <rPh sb="5" eb="9">
      <t>セイキ</t>
    </rPh>
    <phoneticPr fontId="1"/>
  </si>
  <si>
    <t>→(6)に正規表現可</t>
    <rPh sb="5" eb="9">
      <t>セイキ</t>
    </rPh>
    <rPh sb="9" eb="10">
      <t>カ</t>
    </rPh>
    <phoneticPr fontId="1"/>
  </si>
  <si>
    <t>1.(B)に(A)をクローンする。
2.(D)にスイッチしてプルする。
3.(7)にスイッチしてプルする。
4.(D)を(7)にマージする。(ファストフォワード)
5.HEADに(9)タグをつけてプッシュする。(STEP1.5以外はNG)
6.(D)にスイッチする。
7.(7)を(D)にマージする。(ファストフォワード)
8.3～7を[Target]の行数分繰り返す。
9.プッシュする。(D)</t>
    <rPh sb="177" eb="179">
      <t>ギョウスウ</t>
    </rPh>
    <rPh sb="179" eb="180">
      <t>ブン</t>
    </rPh>
    <rPh sb="180" eb="181">
      <t>ク</t>
    </rPh>
    <rPh sb="182" eb="183">
      <t>カエ</t>
    </rPh>
    <phoneticPr fontId="1"/>
  </si>
  <si>
    <t>1.7.5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</si>
</sst>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9"/>
      <color rgb="FFFF0000"/>
      <name val="Yu Gothic"/>
      <family val="3"/>
      <charset val="128"/>
    </font>
    <font>
      <b/>
      <sz val="16"/>
      <color rgb="FFFF0000"/>
      <name val="Meiryo UI"/>
      <family val="3"/>
      <charset val="128"/>
    </font>
    <font>
      <b/>
      <u/>
      <sz val="12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9"/>
      <color rgb="FFFF0000"/>
      <name val="Meiryo UI"/>
      <family val="3"/>
      <charset val="128"/>
    </font>
    <font>
      <b/>
      <u/>
      <sz val="11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9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8" fillId="4" borderId="0" xfId="0" applyNumberFormat="1" applyFont="1" applyFill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10" fillId="4" borderId="0" xfId="0" applyNumberFormat="1" applyFont="1" applyFill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left" vertical="center"/>
    </xf>
    <xf numFmtId="49" fontId="5" fillId="0" borderId="4" xfId="0" applyNumberFormat="1" applyFont="1" applyBorder="1" applyAlignment="1">
      <alignment horizontal="left" vertical="center"/>
    </xf>
    <xf numFmtId="49" fontId="12" fillId="7" borderId="2" xfId="0" applyNumberFormat="1" applyFont="1" applyFill="1" applyBorder="1" applyAlignment="1">
      <alignment horizontal="left" vertical="center" wrapText="1"/>
    </xf>
    <xf numFmtId="49" fontId="3" fillId="8" borderId="1" xfId="0" applyNumberFormat="1" applyFont="1" applyFill="1" applyBorder="1" applyAlignment="1">
      <alignment horizontal="left" vertical="center"/>
    </xf>
    <xf numFmtId="49" fontId="3" fillId="8" borderId="8" xfId="0" applyNumberFormat="1" applyFont="1" applyFill="1" applyBorder="1" applyAlignment="1">
      <alignment horizontal="left" vertical="center"/>
    </xf>
    <xf numFmtId="49" fontId="3" fillId="8" borderId="9" xfId="0" applyNumberFormat="1" applyFont="1" applyFill="1" applyBorder="1" applyAlignment="1">
      <alignment horizontal="left" vertical="center"/>
    </xf>
    <xf numFmtId="49" fontId="12" fillId="3" borderId="6" xfId="0" applyNumberFormat="1" applyFont="1" applyFill="1" applyBorder="1" applyAlignment="1">
      <alignment horizontal="left" vertical="center" wrapText="1"/>
    </xf>
    <xf numFmtId="49" fontId="12" fillId="10" borderId="2" xfId="0" applyNumberFormat="1" applyFont="1" applyFill="1" applyBorder="1" applyAlignment="1">
      <alignment horizontal="left" vertical="center"/>
    </xf>
    <xf numFmtId="49" fontId="12" fillId="7" borderId="10" xfId="0" applyNumberFormat="1" applyFont="1" applyFill="1" applyBorder="1" applyAlignment="1">
      <alignment horizontal="center" vertical="center" shrinkToFit="1"/>
    </xf>
    <xf numFmtId="49" fontId="12" fillId="10" borderId="10" xfId="0" applyNumberFormat="1" applyFont="1" applyFill="1" applyBorder="1" applyAlignment="1">
      <alignment horizontal="center" vertical="center" shrinkToFit="1"/>
    </xf>
    <xf numFmtId="49" fontId="12" fillId="11" borderId="1" xfId="0" applyNumberFormat="1" applyFont="1" applyFill="1" applyBorder="1" applyAlignment="1">
      <alignment horizontal="left" vertical="center" wrapText="1"/>
    </xf>
    <xf numFmtId="49" fontId="12" fillId="11" borderId="6" xfId="0" applyNumberFormat="1" applyFont="1" applyFill="1" applyBorder="1" applyAlignment="1">
      <alignment horizontal="left" vertical="center" wrapText="1"/>
    </xf>
    <xf numFmtId="49" fontId="3" fillId="4" borderId="0" xfId="0" applyNumberFormat="1" applyFont="1" applyFill="1" applyAlignment="1">
      <alignment horizontal="left" vertical="center"/>
    </xf>
    <xf numFmtId="49" fontId="3" fillId="0" borderId="0" xfId="0" applyNumberFormat="1" applyFont="1" applyAlignment="1">
      <alignment horizontal="left" vertical="top"/>
    </xf>
    <xf numFmtId="49" fontId="5" fillId="5" borderId="5" xfId="0" applyNumberFormat="1" applyFont="1" applyFill="1" applyBorder="1" applyAlignment="1">
      <alignment horizontal="left" vertical="top" wrapText="1"/>
    </xf>
    <xf numFmtId="49" fontId="3" fillId="2" borderId="0" xfId="0" applyNumberFormat="1" applyFont="1" applyFill="1" applyAlignment="1">
      <alignment horizontal="left" vertical="center"/>
    </xf>
    <xf numFmtId="0" fontId="2" fillId="0" borderId="0" xfId="0" applyFont="1"/>
    <xf numFmtId="0" fontId="3" fillId="0" borderId="0" xfId="0" applyFont="1"/>
    <xf numFmtId="49" fontId="5" fillId="12" borderId="5" xfId="0" applyNumberFormat="1" applyFont="1" applyFill="1" applyBorder="1" applyAlignment="1">
      <alignment horizontal="center" vertical="center" wrapText="1" shrinkToFit="1"/>
    </xf>
    <xf numFmtId="49" fontId="5" fillId="12" borderId="3" xfId="0" applyNumberFormat="1" applyFont="1" applyFill="1" applyBorder="1" applyAlignment="1">
      <alignment horizontal="left" vertical="center" wrapText="1"/>
    </xf>
    <xf numFmtId="49" fontId="5" fillId="12" borderId="5" xfId="0" applyNumberFormat="1" applyFont="1" applyFill="1" applyBorder="1" applyAlignment="1">
      <alignment horizontal="left" vertical="center" wrapText="1"/>
    </xf>
    <xf numFmtId="176" fontId="5" fillId="12" borderId="3" xfId="0" applyNumberFormat="1" applyFont="1" applyFill="1" applyBorder="1" applyAlignment="1">
      <alignment horizontal="left" vertical="center" wrapText="1"/>
    </xf>
    <xf numFmtId="0" fontId="5" fillId="2" borderId="5" xfId="0" applyFont="1" applyFill="1" applyBorder="1" applyAlignment="1">
      <alignment horizontal="left" vertical="center" wrapText="1"/>
    </xf>
    <xf numFmtId="49" fontId="7" fillId="0" borderId="0" xfId="0" applyNumberFormat="1" applyFont="1" applyAlignment="1">
      <alignment horizontal="left" vertical="top"/>
    </xf>
    <xf numFmtId="0" fontId="15" fillId="0" borderId="0" xfId="0" applyFont="1"/>
    <xf numFmtId="49" fontId="12" fillId="11" borderId="1" xfId="0" applyNumberFormat="1" applyFont="1" applyFill="1" applyBorder="1" applyAlignment="1">
      <alignment horizontal="left" vertical="center" shrinkToFit="1"/>
    </xf>
    <xf numFmtId="0" fontId="16" fillId="0" borderId="0" xfId="0" applyFont="1"/>
    <xf numFmtId="49" fontId="7" fillId="0" borderId="0" xfId="0" applyNumberFormat="1" applyFont="1" applyAlignment="1">
      <alignment horizontal="left" vertical="center"/>
    </xf>
    <xf numFmtId="49" fontId="5" fillId="0" borderId="3" xfId="0" applyNumberFormat="1" applyFont="1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49" fontId="5" fillId="6" borderId="3" xfId="0" applyNumberFormat="1" applyFont="1" applyFill="1" applyBorder="1" applyAlignment="1">
      <alignment horizontal="left" vertical="center" wrapText="1"/>
    </xf>
    <xf numFmtId="0" fontId="0" fillId="6" borderId="7" xfId="0" applyFill="1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49" fontId="5" fillId="6" borderId="3" xfId="0" quotePrefix="1" applyNumberFormat="1" applyFont="1" applyFill="1" applyBorder="1" applyAlignment="1">
      <alignment horizontal="left" vertical="top" wrapText="1"/>
    </xf>
    <xf numFmtId="49" fontId="5" fillId="5" borderId="3" xfId="0" applyNumberFormat="1" applyFont="1" applyFill="1" applyBorder="1" applyAlignment="1">
      <alignment horizontal="left" vertical="center" wrapText="1"/>
    </xf>
    <xf numFmtId="49" fontId="12" fillId="9" borderId="3" xfId="0" applyNumberFormat="1" applyFont="1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9900"/>
      <color rgb="FF66FF99"/>
      <color rgb="FF99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5</xdr:row>
          <xdr:rowOff>95250</xdr:rowOff>
        </xdr:from>
        <xdr:to>
          <xdr:col>1</xdr:col>
          <xdr:colOff>804863</xdr:colOff>
          <xdr:row>5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204788</xdr:colOff>
          <xdr:row>7</xdr:row>
          <xdr:rowOff>90488</xdr:rowOff>
        </xdr:from>
        <xdr:to>
          <xdr:col>1</xdr:col>
          <xdr:colOff>809625</xdr:colOff>
          <xdr:row>7</xdr:row>
          <xdr:rowOff>347663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95250</xdr:rowOff>
        </xdr:from>
        <xdr:to>
          <xdr:col>1</xdr:col>
          <xdr:colOff>823913</xdr:colOff>
          <xdr:row>10</xdr:row>
          <xdr:rowOff>352425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61913</xdr:rowOff>
        </xdr:from>
        <xdr:to>
          <xdr:col>1</xdr:col>
          <xdr:colOff>838200</xdr:colOff>
          <xdr:row>13</xdr:row>
          <xdr:rowOff>304800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252413</xdr:colOff>
          <xdr:row>16</xdr:row>
          <xdr:rowOff>71438</xdr:rowOff>
        </xdr:from>
        <xdr:to>
          <xdr:col>1</xdr:col>
          <xdr:colOff>828675</xdr:colOff>
          <xdr:row>16</xdr:row>
          <xdr:rowOff>314325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18</xdr:row>
          <xdr:rowOff>95250</xdr:rowOff>
        </xdr:from>
        <xdr:to>
          <xdr:col>1</xdr:col>
          <xdr:colOff>823913</xdr:colOff>
          <xdr:row>18</xdr:row>
          <xdr:rowOff>352425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461963</xdr:rowOff>
        </xdr:from>
        <xdr:to>
          <xdr:col>2</xdr:col>
          <xdr:colOff>1290638</xdr:colOff>
          <xdr:row>4</xdr:row>
          <xdr:rowOff>704850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Branch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371475</xdr:rowOff>
        </xdr:from>
        <xdr:to>
          <xdr:col>2</xdr:col>
          <xdr:colOff>1309688</xdr:colOff>
          <xdr:row>6</xdr:row>
          <xdr:rowOff>609600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Delete 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29523-4DE5-410C-90A1-2A6091FC59DD}">
  <sheetPr codeName="Sheet2"/>
  <dimension ref="A1:Y19"/>
  <sheetViews>
    <sheetView showGridLines="0" tabSelected="1" zoomScale="160" zoomScaleNormal="160" workbookViewId="0">
      <selection activeCell="B3" sqref="B3"/>
    </sheetView>
  </sheetViews>
  <sheetFormatPr defaultColWidth="3.5625" defaultRowHeight="15"/>
  <cols>
    <col min="1" max="1" width="3.5625" style="2"/>
    <col min="2" max="2" width="12.3125" style="2" customWidth="1"/>
    <col min="3" max="3" width="21.6875" style="24" customWidth="1"/>
    <col min="4" max="22" width="3.5625" style="2"/>
    <col min="23" max="23" width="3.5625" style="2" customWidth="1"/>
    <col min="24" max="16384" width="3.5625" style="2"/>
  </cols>
  <sheetData>
    <row r="1" spans="1:25" ht="22.15">
      <c r="A1" s="3" t="s">
        <v>14</v>
      </c>
    </row>
    <row r="2" spans="1:25">
      <c r="A2" s="2" t="s">
        <v>37</v>
      </c>
      <c r="B2" s="1" t="s">
        <v>129</v>
      </c>
    </row>
    <row r="3" spans="1:25">
      <c r="B3" s="6"/>
      <c r="D3" s="6" t="s">
        <v>123</v>
      </c>
    </row>
    <row r="4" spans="1:25" ht="15.4" thickBot="1">
      <c r="D4" s="19" t="s">
        <v>51</v>
      </c>
      <c r="E4" s="19" t="s">
        <v>52</v>
      </c>
      <c r="F4" s="19" t="s">
        <v>53</v>
      </c>
      <c r="G4" s="19" t="s">
        <v>54</v>
      </c>
      <c r="H4" s="19" t="s">
        <v>55</v>
      </c>
      <c r="I4" s="20" t="s">
        <v>57</v>
      </c>
      <c r="J4" s="20" t="s">
        <v>58</v>
      </c>
      <c r="K4" s="20" t="s">
        <v>59</v>
      </c>
      <c r="L4" s="20" t="s">
        <v>60</v>
      </c>
      <c r="M4" s="20" t="s">
        <v>61</v>
      </c>
      <c r="N4" s="20" t="s">
        <v>62</v>
      </c>
      <c r="O4" s="20" t="s">
        <v>63</v>
      </c>
      <c r="P4" s="21" t="s">
        <v>64</v>
      </c>
      <c r="Q4" s="21" t="s">
        <v>65</v>
      </c>
      <c r="R4" s="22" t="s">
        <v>66</v>
      </c>
      <c r="S4" s="22" t="s">
        <v>67</v>
      </c>
      <c r="T4" s="22" t="s">
        <v>68</v>
      </c>
      <c r="U4" s="21" t="s">
        <v>69</v>
      </c>
      <c r="V4" s="21" t="s">
        <v>70</v>
      </c>
      <c r="W4" s="36" t="s">
        <v>111</v>
      </c>
    </row>
    <row r="5" spans="1:25" ht="16.899999999999999" thickBot="1">
      <c r="A5" s="9" t="s">
        <v>13</v>
      </c>
    </row>
    <row r="6" spans="1:25" ht="42" customHeight="1" thickBot="1">
      <c r="C6" s="25" t="s">
        <v>71</v>
      </c>
      <c r="D6" s="19" t="s">
        <v>51</v>
      </c>
      <c r="E6" s="19" t="s">
        <v>52</v>
      </c>
      <c r="F6" s="19" t="s">
        <v>53</v>
      </c>
      <c r="P6" s="21" t="s">
        <v>64</v>
      </c>
      <c r="Q6" s="21" t="s">
        <v>65</v>
      </c>
    </row>
    <row r="7" spans="1:25" ht="11.65" customHeight="1" thickBot="1"/>
    <row r="8" spans="1:25" ht="88.15" customHeight="1" thickBot="1">
      <c r="C8" s="25" t="s">
        <v>39</v>
      </c>
      <c r="E8" s="19" t="s">
        <v>52</v>
      </c>
      <c r="I8" s="20" t="s">
        <v>57</v>
      </c>
      <c r="J8" s="20" t="s">
        <v>58</v>
      </c>
      <c r="K8" s="20" t="s">
        <v>59</v>
      </c>
      <c r="L8" s="20" t="s">
        <v>60</v>
      </c>
      <c r="M8" s="20" t="s">
        <v>61</v>
      </c>
      <c r="N8" s="20" t="s">
        <v>62</v>
      </c>
      <c r="P8" s="21" t="s">
        <v>64</v>
      </c>
      <c r="Q8" s="21" t="s">
        <v>65</v>
      </c>
      <c r="R8" s="22" t="s">
        <v>66</v>
      </c>
      <c r="S8" s="22" t="s">
        <v>67</v>
      </c>
      <c r="T8" s="22" t="s">
        <v>68</v>
      </c>
      <c r="U8" s="21" t="s">
        <v>69</v>
      </c>
      <c r="V8" s="21" t="s">
        <v>70</v>
      </c>
      <c r="W8" s="36" t="s">
        <v>111</v>
      </c>
      <c r="Y8" s="38" t="s">
        <v>125</v>
      </c>
    </row>
    <row r="10" spans="1:25" ht="16.899999999999999" thickBot="1">
      <c r="A10" s="9" t="s">
        <v>12</v>
      </c>
      <c r="C10" s="34" t="s">
        <v>103</v>
      </c>
    </row>
    <row r="11" spans="1:25" ht="64.900000000000006" customHeight="1" thickBot="1">
      <c r="C11" s="25" t="s">
        <v>32</v>
      </c>
      <c r="E11" s="19" t="s">
        <v>52</v>
      </c>
      <c r="I11" s="20" t="s">
        <v>57</v>
      </c>
      <c r="J11" s="20" t="s">
        <v>58</v>
      </c>
      <c r="K11" s="20" t="s">
        <v>59</v>
      </c>
      <c r="L11" s="20" t="s">
        <v>60</v>
      </c>
      <c r="O11" s="20" t="s">
        <v>63</v>
      </c>
      <c r="P11" s="21" t="s">
        <v>64</v>
      </c>
      <c r="Q11" s="21" t="s">
        <v>65</v>
      </c>
      <c r="R11" s="22" t="s">
        <v>66</v>
      </c>
      <c r="S11" s="22" t="s">
        <v>67</v>
      </c>
      <c r="T11" s="22" t="s">
        <v>68</v>
      </c>
      <c r="U11" s="21" t="s">
        <v>69</v>
      </c>
      <c r="V11" s="21" t="s">
        <v>70</v>
      </c>
      <c r="Y11" s="38" t="s">
        <v>126</v>
      </c>
    </row>
    <row r="13" spans="1:25" ht="16.899999999999999" thickBot="1">
      <c r="A13" s="9" t="s">
        <v>38</v>
      </c>
    </row>
    <row r="14" spans="1:25" ht="162.4" customHeight="1" thickBot="1">
      <c r="C14" s="25" t="s">
        <v>128</v>
      </c>
      <c r="I14" s="20" t="s">
        <v>57</v>
      </c>
      <c r="J14" s="20" t="s">
        <v>58</v>
      </c>
      <c r="L14" s="20" t="s">
        <v>60</v>
      </c>
      <c r="M14" s="20" t="s">
        <v>61</v>
      </c>
      <c r="P14" s="21" t="s">
        <v>64</v>
      </c>
      <c r="R14" s="22" t="s">
        <v>66</v>
      </c>
      <c r="S14" s="22" t="s">
        <v>67</v>
      </c>
      <c r="T14" s="22" t="s">
        <v>68</v>
      </c>
      <c r="U14" s="21" t="s">
        <v>69</v>
      </c>
      <c r="V14" s="21" t="s">
        <v>70</v>
      </c>
      <c r="Y14" s="38" t="s">
        <v>125</v>
      </c>
    </row>
    <row r="16" spans="1:25" ht="16.899999999999999" thickBot="1">
      <c r="A16" s="9" t="s">
        <v>108</v>
      </c>
    </row>
    <row r="17" spans="1:25" ht="180.4" thickBot="1">
      <c r="C17" s="25" t="s">
        <v>124</v>
      </c>
      <c r="G17" s="19" t="s">
        <v>54</v>
      </c>
      <c r="H17" s="19" t="s">
        <v>55</v>
      </c>
      <c r="I17" s="20" t="s">
        <v>57</v>
      </c>
      <c r="J17" s="20" t="s">
        <v>58</v>
      </c>
      <c r="L17" s="20" t="s">
        <v>60</v>
      </c>
      <c r="M17" s="20" t="s">
        <v>61</v>
      </c>
      <c r="P17" s="21" t="s">
        <v>64</v>
      </c>
      <c r="Q17" s="21" t="s">
        <v>65</v>
      </c>
      <c r="R17" s="22" t="s">
        <v>66</v>
      </c>
      <c r="S17" s="22" t="s">
        <v>67</v>
      </c>
      <c r="T17" s="22" t="s">
        <v>68</v>
      </c>
      <c r="U17" s="21" t="s">
        <v>69</v>
      </c>
      <c r="V17" s="21" t="s">
        <v>70</v>
      </c>
      <c r="Y17" s="38" t="s">
        <v>125</v>
      </c>
    </row>
    <row r="18" spans="1:25" ht="16.899999999999999" thickBot="1">
      <c r="A18" s="9" t="s">
        <v>78</v>
      </c>
    </row>
    <row r="19" spans="1:25" ht="64.900000000000006" customHeight="1" thickBot="1">
      <c r="C19" s="25" t="s">
        <v>79</v>
      </c>
      <c r="E19" s="19" t="s">
        <v>52</v>
      </c>
      <c r="I19" s="20" t="s">
        <v>57</v>
      </c>
      <c r="J19" s="20" t="s">
        <v>58</v>
      </c>
      <c r="L19" s="20" t="s">
        <v>60</v>
      </c>
      <c r="P19" s="21" t="s">
        <v>64</v>
      </c>
      <c r="R19" s="22" t="s">
        <v>66</v>
      </c>
      <c r="S19" s="22" t="s">
        <v>67</v>
      </c>
      <c r="T19" s="22" t="s">
        <v>68</v>
      </c>
      <c r="U19" s="21" t="s">
        <v>69</v>
      </c>
      <c r="V19" s="21" t="s">
        <v>70</v>
      </c>
      <c r="Y19" s="38" t="s">
        <v>127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204788</xdr:colOff>
                    <xdr:row>5</xdr:row>
                    <xdr:rowOff>95250</xdr:rowOff>
                  </from>
                  <to>
                    <xdr:col>1</xdr:col>
                    <xdr:colOff>804863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204788</xdr:colOff>
                    <xdr:row>7</xdr:row>
                    <xdr:rowOff>90488</xdr:rowOff>
                  </from>
                  <to>
                    <xdr:col>1</xdr:col>
                    <xdr:colOff>809625</xdr:colOff>
                    <xdr:row>7</xdr:row>
                    <xdr:rowOff>347663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un004_Click">
                <anchor moveWithCells="1" sizeWithCells="1">
                  <from>
                    <xdr:col>0</xdr:col>
                    <xdr:colOff>238125</xdr:colOff>
                    <xdr:row>13</xdr:row>
                    <xdr:rowOff>61913</xdr:rowOff>
                  </from>
                  <to>
                    <xdr:col>1</xdr:col>
                    <xdr:colOff>838200</xdr:colOff>
                    <xdr:row>13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Run005_Click">
                <anchor moveWithCells="1" sizeWithCells="1">
                  <from>
                    <xdr:col>0</xdr:col>
                    <xdr:colOff>252413</xdr:colOff>
                    <xdr:row>16</xdr:row>
                    <xdr:rowOff>71438</xdr:rowOff>
                  </from>
                  <to>
                    <xdr:col>1</xdr:col>
                    <xdr:colOff>828675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un003_Click">
                <anchor moveWithCells="1" sizeWithCells="1">
                  <from>
                    <xdr:col>0</xdr:col>
                    <xdr:colOff>200025</xdr:colOff>
                    <xdr:row>10</xdr:row>
                    <xdr:rowOff>95250</xdr:rowOff>
                  </from>
                  <to>
                    <xdr:col>1</xdr:col>
                    <xdr:colOff>823913</xdr:colOff>
                    <xdr:row>10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Run006_Click">
                <anchor moveWithCells="1" sizeWithCells="1">
                  <from>
                    <xdr:col>0</xdr:col>
                    <xdr:colOff>200025</xdr:colOff>
                    <xdr:row>18</xdr:row>
                    <xdr:rowOff>95250</xdr:rowOff>
                  </from>
                  <to>
                    <xdr:col>1</xdr:col>
                    <xdr:colOff>823913</xdr:colOff>
                    <xdr:row>18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44"/>
  <sheetViews>
    <sheetView showGridLines="0" zoomScaleNormal="100" workbookViewId="0">
      <selection activeCell="C28" sqref="C28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5.5" style="2" customWidth="1"/>
    <col min="5" max="5" width="5.875" style="2" customWidth="1"/>
    <col min="6" max="6" width="13.5" style="2" customWidth="1"/>
    <col min="7" max="9" width="6.9375" style="2" customWidth="1"/>
    <col min="10" max="10" width="14.625" style="2" customWidth="1"/>
    <col min="11" max="11" width="13.875" style="2" customWidth="1"/>
    <col min="12" max="12" width="23.875" style="2" bestFit="1" customWidth="1"/>
    <col min="13" max="13" width="5.9375" style="2" customWidth="1"/>
    <col min="14" max="16384" width="3.5625" style="2"/>
  </cols>
  <sheetData>
    <row r="1" spans="1:25" ht="22.15">
      <c r="A1" s="3" t="s">
        <v>15</v>
      </c>
    </row>
    <row r="2" spans="1:25">
      <c r="A2" s="6" t="s">
        <v>11</v>
      </c>
      <c r="D2" s="6" t="s">
        <v>11</v>
      </c>
    </row>
    <row r="4" spans="1:25" ht="15.4" thickBot="1">
      <c r="B4" s="1" t="s">
        <v>16</v>
      </c>
      <c r="J4" s="14" t="s">
        <v>2</v>
      </c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6"/>
    </row>
    <row r="5" spans="1:25" s="4" customFormat="1" ht="35.25" customHeight="1" thickBot="1">
      <c r="C5" s="13" t="s">
        <v>41</v>
      </c>
      <c r="D5" s="42" t="s">
        <v>36</v>
      </c>
      <c r="E5" s="43"/>
      <c r="F5" s="43"/>
      <c r="G5" s="43"/>
      <c r="H5" s="44"/>
      <c r="I5" s="45"/>
      <c r="J5" s="10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2"/>
    </row>
    <row r="6" spans="1:25" s="4" customFormat="1" ht="35.25" customHeight="1" thickBot="1">
      <c r="C6" s="13" t="s">
        <v>40</v>
      </c>
      <c r="D6" s="42" t="s">
        <v>9</v>
      </c>
      <c r="E6" s="43"/>
      <c r="F6" s="43"/>
      <c r="G6" s="43"/>
      <c r="H6" s="44"/>
      <c r="I6" s="45"/>
      <c r="J6" s="10" t="s">
        <v>1</v>
      </c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2"/>
    </row>
    <row r="7" spans="1:25" s="4" customFormat="1" ht="16.149999999999999" customHeight="1" thickBot="1">
      <c r="C7" s="13" t="s">
        <v>34</v>
      </c>
      <c r="D7" s="42"/>
      <c r="E7" s="43"/>
      <c r="F7" s="43"/>
      <c r="G7" s="43"/>
      <c r="H7" s="44"/>
      <c r="I7" s="45"/>
      <c r="J7" s="10" t="s">
        <v>35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2"/>
    </row>
    <row r="8" spans="1:25" s="4" customFormat="1" ht="18" thickBot="1">
      <c r="C8" s="13" t="s">
        <v>0</v>
      </c>
      <c r="D8" s="42" t="s">
        <v>81</v>
      </c>
      <c r="E8" s="44"/>
      <c r="F8" s="44"/>
      <c r="G8" s="44"/>
      <c r="H8" s="44"/>
      <c r="I8" s="45"/>
      <c r="J8" s="10" t="s">
        <v>24</v>
      </c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2"/>
    </row>
    <row r="9" spans="1:25" s="4" customFormat="1" ht="27.75" customHeight="1" thickBot="1">
      <c r="C9" s="13" t="s">
        <v>85</v>
      </c>
      <c r="D9" s="42" t="s">
        <v>82</v>
      </c>
      <c r="E9" s="43"/>
      <c r="F9" s="43"/>
      <c r="G9" s="43"/>
      <c r="H9" s="44"/>
      <c r="I9" s="45"/>
      <c r="J9" s="39" t="s">
        <v>83</v>
      </c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1"/>
    </row>
    <row r="10" spans="1:25" s="4" customFormat="1" ht="49.5" customHeight="1" thickBot="1">
      <c r="C10" s="13" t="s">
        <v>86</v>
      </c>
      <c r="D10" s="46" t="s">
        <v>118</v>
      </c>
      <c r="E10" s="40"/>
      <c r="F10" s="40"/>
      <c r="G10" s="40"/>
      <c r="H10" s="40"/>
      <c r="I10" s="41"/>
      <c r="J10" s="39" t="s">
        <v>84</v>
      </c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1"/>
    </row>
    <row r="12" spans="1:25" ht="15.4" thickBot="1">
      <c r="B12" s="1" t="s">
        <v>17</v>
      </c>
      <c r="J12" s="14" t="s">
        <v>2</v>
      </c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6"/>
    </row>
    <row r="13" spans="1:25" s="4" customFormat="1" ht="32.65" customHeight="1" thickBot="1">
      <c r="C13" s="18" t="s">
        <v>5</v>
      </c>
      <c r="D13" s="47" t="s">
        <v>4</v>
      </c>
      <c r="E13" s="44"/>
      <c r="F13" s="44"/>
      <c r="G13" s="44"/>
      <c r="H13" s="44"/>
      <c r="I13" s="45"/>
      <c r="J13" s="10" t="s">
        <v>6</v>
      </c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2"/>
    </row>
    <row r="14" spans="1:25" s="4" customFormat="1" ht="15.4" customHeight="1" thickBot="1">
      <c r="C14" s="18" t="s">
        <v>42</v>
      </c>
      <c r="D14" s="47" t="s">
        <v>10</v>
      </c>
      <c r="E14" s="44"/>
      <c r="F14" s="44"/>
      <c r="G14" s="44"/>
      <c r="H14" s="44"/>
      <c r="I14" s="45"/>
      <c r="J14" s="10" t="s">
        <v>1</v>
      </c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2"/>
    </row>
    <row r="15" spans="1:25" s="4" customFormat="1" ht="18" thickBot="1">
      <c r="C15" s="18" t="s">
        <v>43</v>
      </c>
      <c r="D15" s="47" t="s">
        <v>20</v>
      </c>
      <c r="E15" s="44"/>
      <c r="F15" s="44"/>
      <c r="G15" s="44"/>
      <c r="H15" s="44"/>
      <c r="I15" s="45"/>
      <c r="J15" s="10" t="s">
        <v>7</v>
      </c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2"/>
    </row>
    <row r="16" spans="1:25" s="4" customFormat="1" ht="18" customHeight="1" thickBot="1">
      <c r="C16" s="18" t="s">
        <v>44</v>
      </c>
      <c r="D16" s="47" t="s">
        <v>75</v>
      </c>
      <c r="E16" s="44"/>
      <c r="F16" s="44"/>
      <c r="G16" s="44"/>
      <c r="H16" s="44"/>
      <c r="I16" s="45"/>
      <c r="J16" s="10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2"/>
    </row>
    <row r="17" spans="1:25" s="4" customFormat="1" ht="18" thickBot="1">
      <c r="C17" s="18" t="s">
        <v>19</v>
      </c>
      <c r="D17" s="48" t="s">
        <v>27</v>
      </c>
      <c r="E17" s="44"/>
      <c r="F17" s="44"/>
      <c r="G17" s="44"/>
      <c r="H17" s="44"/>
      <c r="I17" s="45"/>
      <c r="J17" s="10" t="s">
        <v>23</v>
      </c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2"/>
    </row>
    <row r="18" spans="1:25" s="4" customFormat="1" ht="18" thickBot="1">
      <c r="C18" s="18" t="s">
        <v>72</v>
      </c>
      <c r="D18" s="48" t="s">
        <v>27</v>
      </c>
      <c r="E18" s="44"/>
      <c r="F18" s="44"/>
      <c r="G18" s="44"/>
      <c r="H18" s="44"/>
      <c r="I18" s="45"/>
      <c r="J18" s="10" t="s">
        <v>23</v>
      </c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2"/>
    </row>
    <row r="19" spans="1:25" s="4" customFormat="1" ht="18" customHeight="1" thickBot="1">
      <c r="C19" s="18" t="s">
        <v>31</v>
      </c>
      <c r="D19" s="47" t="s">
        <v>25</v>
      </c>
      <c r="E19" s="44"/>
      <c r="F19" s="44"/>
      <c r="G19" s="44"/>
      <c r="H19" s="44"/>
      <c r="I19" s="45"/>
      <c r="J19" s="10" t="s">
        <v>33</v>
      </c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2"/>
    </row>
    <row r="21" spans="1:25" ht="15.4" thickBot="1">
      <c r="J21" s="14" t="s">
        <v>2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6"/>
    </row>
    <row r="22" spans="1:25" ht="15.4" thickBot="1">
      <c r="B22" s="1" t="s">
        <v>18</v>
      </c>
      <c r="J22" s="10" t="s">
        <v>73</v>
      </c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2"/>
    </row>
    <row r="23" spans="1:25" s="4" customFormat="1" ht="43.5" customHeight="1" thickBot="1">
      <c r="B23" s="21" t="s">
        <v>22</v>
      </c>
      <c r="C23" s="21" t="s">
        <v>45</v>
      </c>
      <c r="D23" s="22" t="s">
        <v>46</v>
      </c>
      <c r="E23" s="22" t="s">
        <v>47</v>
      </c>
      <c r="F23" s="22" t="s">
        <v>48</v>
      </c>
      <c r="G23" s="21" t="s">
        <v>49</v>
      </c>
      <c r="H23" s="21" t="s">
        <v>50</v>
      </c>
      <c r="I23" s="21" t="s">
        <v>109</v>
      </c>
      <c r="J23" s="17" t="s">
        <v>28</v>
      </c>
      <c r="K23" s="17" t="s">
        <v>29</v>
      </c>
      <c r="L23" s="17" t="s">
        <v>30</v>
      </c>
    </row>
    <row r="24" spans="1:25" s="4" customFormat="1" ht="12.4" thickBot="1">
      <c r="A24" s="4" t="s">
        <v>8</v>
      </c>
      <c r="B24" s="29"/>
      <c r="C24" s="30"/>
      <c r="D24" s="31"/>
      <c r="E24" s="31"/>
      <c r="F24" s="31"/>
      <c r="G24" s="32"/>
      <c r="H24" s="30"/>
      <c r="I24" s="30"/>
      <c r="J24" s="33" t="str">
        <f>"fe_" &amp; F24 &amp; "#" &amp; TEXT(G24,"00000")</f>
        <v>fe_#00000</v>
      </c>
      <c r="K24" s="33" t="str">
        <f>"[COMMIT] " &amp; F24</f>
        <v xml:space="preserve">[COMMIT] </v>
      </c>
      <c r="L24" s="33" t="str">
        <f>"TAG-" &amp; "LO" &amp; D24 &amp; "-PH" &amp; E24 &amp; "-STEP" &amp; H24 &amp; "-" &amp;  F24</f>
        <v>TAG-LO-PH-STEP-</v>
      </c>
    </row>
    <row r="25" spans="1:25" s="4" customFormat="1" ht="12.4" thickBot="1">
      <c r="A25" s="4">
        <f>A24+1</f>
        <v>2</v>
      </c>
      <c r="B25" s="29"/>
      <c r="C25" s="30"/>
      <c r="D25" s="31"/>
      <c r="E25" s="31"/>
      <c r="F25" s="31"/>
      <c r="G25" s="32"/>
      <c r="H25" s="30"/>
      <c r="I25" s="30"/>
      <c r="J25" s="33" t="str">
        <f>"fe_" &amp; F25 &amp; "#" &amp; TEXT(G25,"00000")</f>
        <v>fe_#00000</v>
      </c>
      <c r="K25" s="33" t="str">
        <f>"[COMMIT] " &amp; F25</f>
        <v xml:space="preserve">[COMMIT] </v>
      </c>
      <c r="L25" s="33" t="str">
        <f>"TAG-" &amp; "LO" &amp; D25 &amp; "-PH" &amp; E25 &amp; "-STEP" &amp; H25 &amp; "-" &amp;  F25</f>
        <v>TAG-LO-PH-STEP-</v>
      </c>
    </row>
    <row r="26" spans="1:25" s="4" customFormat="1" ht="12.4" thickBot="1">
      <c r="A26" s="4">
        <f t="shared" ref="A26:A44" si="0">A25+1</f>
        <v>3</v>
      </c>
      <c r="B26" s="29"/>
      <c r="C26" s="30"/>
      <c r="D26" s="31"/>
      <c r="E26" s="31"/>
      <c r="F26" s="31"/>
      <c r="G26" s="32"/>
      <c r="H26" s="30"/>
      <c r="I26" s="30"/>
      <c r="J26" s="33" t="str">
        <f t="shared" ref="J26" si="1">"fe_" &amp; F26 &amp; "#" &amp; TEXT(G26,"00000")</f>
        <v>fe_#00000</v>
      </c>
      <c r="K26" s="33" t="str">
        <f t="shared" ref="K26" si="2">"[COMMIT] " &amp; F26</f>
        <v xml:space="preserve">[COMMIT] </v>
      </c>
      <c r="L26" s="33" t="str">
        <f t="shared" ref="L26" si="3">"TAG-" &amp; "LO" &amp; D26 &amp; "-PH" &amp; E26 &amp; "-STEP" &amp; H26 &amp; "-" &amp;  F26</f>
        <v>TAG-LO-PH-STEP-</v>
      </c>
    </row>
    <row r="27" spans="1:25" s="4" customFormat="1" ht="12.4" thickBot="1">
      <c r="A27" s="4">
        <f t="shared" si="0"/>
        <v>4</v>
      </c>
      <c r="B27" s="29"/>
      <c r="C27" s="30"/>
      <c r="D27" s="31"/>
      <c r="E27" s="31"/>
      <c r="F27" s="31"/>
      <c r="G27" s="32"/>
      <c r="H27" s="30"/>
      <c r="I27" s="30"/>
      <c r="J27" s="33" t="str">
        <f t="shared" ref="J27" si="4">"fe_" &amp; F27 &amp; "#" &amp; TEXT(G27,"00000")</f>
        <v>fe_#00000</v>
      </c>
      <c r="K27" s="33" t="str">
        <f t="shared" ref="K27" si="5">"[COMMIT] " &amp; F27</f>
        <v xml:space="preserve">[COMMIT] </v>
      </c>
      <c r="L27" s="33" t="str">
        <f>"TAG-" &amp; "LO" &amp; D27 &amp; "-PH" &amp; E27 &amp; "-STEP" &amp; H27 &amp; "-" &amp;  F27</f>
        <v>TAG-LO-PH-STEP-</v>
      </c>
    </row>
    <row r="28" spans="1:25" s="4" customFormat="1" ht="12.4" thickBot="1">
      <c r="A28" s="4">
        <f t="shared" si="0"/>
        <v>5</v>
      </c>
      <c r="B28" s="29"/>
      <c r="C28" s="30"/>
      <c r="D28" s="31"/>
      <c r="E28" s="31"/>
      <c r="F28" s="31"/>
      <c r="G28" s="32"/>
      <c r="H28" s="30"/>
      <c r="I28" s="30"/>
      <c r="J28" s="33" t="str">
        <f t="shared" ref="J28:J44" si="6">"fe_" &amp; F28 &amp; "#" &amp; TEXT(G28,"00000")</f>
        <v>fe_#00000</v>
      </c>
      <c r="K28" s="33" t="str">
        <f t="shared" ref="K28:K44" si="7">"[COMMIT] " &amp; F28</f>
        <v xml:space="preserve">[COMMIT] </v>
      </c>
      <c r="L28" s="33" t="str">
        <f t="shared" ref="L28:L44" si="8">"TAG-" &amp; "LO" &amp; D28 &amp; "-PH" &amp; E28 &amp; "-STEP" &amp; H28 &amp; "-" &amp;  F28</f>
        <v>TAG-LO-PH-STEP-</v>
      </c>
    </row>
    <row r="29" spans="1:25" s="4" customFormat="1" ht="12.4" thickBot="1">
      <c r="A29" s="4">
        <f t="shared" si="0"/>
        <v>6</v>
      </c>
      <c r="B29" s="29"/>
      <c r="C29" s="30"/>
      <c r="D29" s="31"/>
      <c r="E29" s="31"/>
      <c r="F29" s="31"/>
      <c r="G29" s="32"/>
      <c r="H29" s="30"/>
      <c r="I29" s="30"/>
      <c r="J29" s="33" t="str">
        <f t="shared" si="6"/>
        <v>fe_#00000</v>
      </c>
      <c r="K29" s="33" t="str">
        <f t="shared" si="7"/>
        <v xml:space="preserve">[COMMIT] </v>
      </c>
      <c r="L29" s="33" t="str">
        <f t="shared" si="8"/>
        <v>TAG-LO-PH-STEP-</v>
      </c>
    </row>
    <row r="30" spans="1:25" s="4" customFormat="1" ht="12.4" thickBot="1">
      <c r="A30" s="4">
        <f t="shared" si="0"/>
        <v>7</v>
      </c>
      <c r="B30" s="29"/>
      <c r="C30" s="30"/>
      <c r="D30" s="31"/>
      <c r="E30" s="31"/>
      <c r="F30" s="31"/>
      <c r="G30" s="32"/>
      <c r="H30" s="30"/>
      <c r="I30" s="30"/>
      <c r="J30" s="33" t="str">
        <f t="shared" si="6"/>
        <v>fe_#00000</v>
      </c>
      <c r="K30" s="33" t="str">
        <f t="shared" si="7"/>
        <v xml:space="preserve">[COMMIT] </v>
      </c>
      <c r="L30" s="33" t="str">
        <f t="shared" si="8"/>
        <v>TAG-LO-PH-STEP-</v>
      </c>
    </row>
    <row r="31" spans="1:25" s="4" customFormat="1" ht="12.4" thickBot="1">
      <c r="A31" s="4">
        <f t="shared" si="0"/>
        <v>8</v>
      </c>
      <c r="B31" s="29"/>
      <c r="C31" s="30"/>
      <c r="D31" s="31"/>
      <c r="E31" s="31"/>
      <c r="F31" s="31"/>
      <c r="G31" s="32"/>
      <c r="H31" s="30"/>
      <c r="I31" s="30"/>
      <c r="J31" s="33" t="str">
        <f t="shared" si="6"/>
        <v>fe_#00000</v>
      </c>
      <c r="K31" s="33" t="str">
        <f t="shared" si="7"/>
        <v xml:space="preserve">[COMMIT] </v>
      </c>
      <c r="L31" s="33" t="str">
        <f t="shared" si="8"/>
        <v>TAG-LO-PH-STEP-</v>
      </c>
    </row>
    <row r="32" spans="1:25" s="4" customFormat="1" ht="12.4" thickBot="1">
      <c r="A32" s="4">
        <f t="shared" si="0"/>
        <v>9</v>
      </c>
      <c r="B32" s="29"/>
      <c r="C32" s="30"/>
      <c r="D32" s="31"/>
      <c r="E32" s="31"/>
      <c r="F32" s="31"/>
      <c r="G32" s="32"/>
      <c r="H32" s="30"/>
      <c r="I32" s="30"/>
      <c r="J32" s="33" t="str">
        <f t="shared" si="6"/>
        <v>fe_#00000</v>
      </c>
      <c r="K32" s="33" t="str">
        <f t="shared" si="7"/>
        <v xml:space="preserve">[COMMIT] </v>
      </c>
      <c r="L32" s="33" t="str">
        <f t="shared" si="8"/>
        <v>TAG-LO-PH-STEP-</v>
      </c>
    </row>
    <row r="33" spans="1:12" s="4" customFormat="1" ht="12.4" thickBot="1">
      <c r="A33" s="4">
        <f t="shared" si="0"/>
        <v>10</v>
      </c>
      <c r="B33" s="29"/>
      <c r="C33" s="30"/>
      <c r="D33" s="31"/>
      <c r="E33" s="31"/>
      <c r="F33" s="31"/>
      <c r="G33" s="32"/>
      <c r="H33" s="30"/>
      <c r="I33" s="30"/>
      <c r="J33" s="33" t="str">
        <f t="shared" si="6"/>
        <v>fe_#00000</v>
      </c>
      <c r="K33" s="33" t="str">
        <f t="shared" si="7"/>
        <v xml:space="preserve">[COMMIT] </v>
      </c>
      <c r="L33" s="33" t="str">
        <f t="shared" si="8"/>
        <v>TAG-LO-PH-STEP-</v>
      </c>
    </row>
    <row r="34" spans="1:12" s="4" customFormat="1" ht="12.4" thickBot="1">
      <c r="A34" s="4">
        <f t="shared" si="0"/>
        <v>11</v>
      </c>
      <c r="B34" s="29"/>
      <c r="C34" s="30"/>
      <c r="D34" s="31"/>
      <c r="E34" s="31"/>
      <c r="F34" s="31"/>
      <c r="G34" s="32"/>
      <c r="H34" s="30"/>
      <c r="I34" s="30"/>
      <c r="J34" s="33" t="str">
        <f t="shared" si="6"/>
        <v>fe_#00000</v>
      </c>
      <c r="K34" s="33" t="str">
        <f t="shared" si="7"/>
        <v xml:space="preserve">[COMMIT] </v>
      </c>
      <c r="L34" s="33" t="str">
        <f t="shared" si="8"/>
        <v>TAG-LO-PH-STEP-</v>
      </c>
    </row>
    <row r="35" spans="1:12" s="4" customFormat="1" ht="12.4" thickBot="1">
      <c r="A35" s="4">
        <f t="shared" si="0"/>
        <v>12</v>
      </c>
      <c r="B35" s="29"/>
      <c r="C35" s="30"/>
      <c r="D35" s="31"/>
      <c r="E35" s="31"/>
      <c r="F35" s="31"/>
      <c r="G35" s="32"/>
      <c r="H35" s="30"/>
      <c r="I35" s="30"/>
      <c r="J35" s="33" t="str">
        <f t="shared" si="6"/>
        <v>fe_#00000</v>
      </c>
      <c r="K35" s="33" t="str">
        <f t="shared" si="7"/>
        <v xml:space="preserve">[COMMIT] </v>
      </c>
      <c r="L35" s="33" t="str">
        <f t="shared" si="8"/>
        <v>TAG-LO-PH-STEP-</v>
      </c>
    </row>
    <row r="36" spans="1:12" s="4" customFormat="1" ht="12.4" thickBot="1">
      <c r="A36" s="4">
        <f t="shared" si="0"/>
        <v>13</v>
      </c>
      <c r="B36" s="29"/>
      <c r="C36" s="30"/>
      <c r="D36" s="31"/>
      <c r="E36" s="31"/>
      <c r="F36" s="31"/>
      <c r="G36" s="32"/>
      <c r="H36" s="30"/>
      <c r="I36" s="30"/>
      <c r="J36" s="33" t="str">
        <f t="shared" si="6"/>
        <v>fe_#00000</v>
      </c>
      <c r="K36" s="33" t="str">
        <f t="shared" si="7"/>
        <v xml:space="preserve">[COMMIT] </v>
      </c>
      <c r="L36" s="33" t="str">
        <f t="shared" si="8"/>
        <v>TAG-LO-PH-STEP-</v>
      </c>
    </row>
    <row r="37" spans="1:12" s="4" customFormat="1" ht="12.4" thickBot="1">
      <c r="A37" s="4">
        <f t="shared" si="0"/>
        <v>14</v>
      </c>
      <c r="B37" s="29"/>
      <c r="C37" s="30"/>
      <c r="D37" s="31"/>
      <c r="E37" s="31"/>
      <c r="F37" s="31"/>
      <c r="G37" s="32"/>
      <c r="H37" s="30"/>
      <c r="I37" s="30"/>
      <c r="J37" s="33" t="str">
        <f t="shared" si="6"/>
        <v>fe_#00000</v>
      </c>
      <c r="K37" s="33" t="str">
        <f t="shared" si="7"/>
        <v xml:space="preserve">[COMMIT] </v>
      </c>
      <c r="L37" s="33" t="str">
        <f t="shared" si="8"/>
        <v>TAG-LO-PH-STEP-</v>
      </c>
    </row>
    <row r="38" spans="1:12" s="4" customFormat="1" ht="12.4" thickBot="1">
      <c r="A38" s="4">
        <f t="shared" si="0"/>
        <v>15</v>
      </c>
      <c r="B38" s="29"/>
      <c r="C38" s="30"/>
      <c r="D38" s="31"/>
      <c r="E38" s="31"/>
      <c r="F38" s="31"/>
      <c r="G38" s="32"/>
      <c r="H38" s="30"/>
      <c r="I38" s="30"/>
      <c r="J38" s="33" t="str">
        <f t="shared" si="6"/>
        <v>fe_#00000</v>
      </c>
      <c r="K38" s="33" t="str">
        <f t="shared" si="7"/>
        <v xml:space="preserve">[COMMIT] </v>
      </c>
      <c r="L38" s="33" t="str">
        <f t="shared" si="8"/>
        <v>TAG-LO-PH-STEP-</v>
      </c>
    </row>
    <row r="39" spans="1:12" s="4" customFormat="1" ht="12.4" thickBot="1">
      <c r="A39" s="4">
        <f t="shared" si="0"/>
        <v>16</v>
      </c>
      <c r="B39" s="29"/>
      <c r="C39" s="30"/>
      <c r="D39" s="31"/>
      <c r="E39" s="31"/>
      <c r="F39" s="31"/>
      <c r="G39" s="32"/>
      <c r="H39" s="30"/>
      <c r="I39" s="30"/>
      <c r="J39" s="33" t="str">
        <f t="shared" si="6"/>
        <v>fe_#00000</v>
      </c>
      <c r="K39" s="33" t="str">
        <f t="shared" si="7"/>
        <v xml:space="preserve">[COMMIT] </v>
      </c>
      <c r="L39" s="33" t="str">
        <f t="shared" si="8"/>
        <v>TAG-LO-PH-STEP-</v>
      </c>
    </row>
    <row r="40" spans="1:12" s="4" customFormat="1" ht="12.4" thickBot="1">
      <c r="A40" s="4">
        <f t="shared" si="0"/>
        <v>17</v>
      </c>
      <c r="B40" s="29"/>
      <c r="C40" s="30"/>
      <c r="D40" s="31"/>
      <c r="E40" s="31"/>
      <c r="F40" s="31"/>
      <c r="G40" s="32"/>
      <c r="H40" s="30"/>
      <c r="I40" s="30"/>
      <c r="J40" s="33" t="str">
        <f t="shared" si="6"/>
        <v>fe_#00000</v>
      </c>
      <c r="K40" s="33" t="str">
        <f t="shared" si="7"/>
        <v xml:space="preserve">[COMMIT] </v>
      </c>
      <c r="L40" s="33" t="str">
        <f t="shared" si="8"/>
        <v>TAG-LO-PH-STEP-</v>
      </c>
    </row>
    <row r="41" spans="1:12" s="4" customFormat="1" ht="12.4" thickBot="1">
      <c r="A41" s="4">
        <f t="shared" si="0"/>
        <v>18</v>
      </c>
      <c r="B41" s="29"/>
      <c r="C41" s="30"/>
      <c r="D41" s="31"/>
      <c r="E41" s="31"/>
      <c r="F41" s="31"/>
      <c r="G41" s="32"/>
      <c r="H41" s="30"/>
      <c r="I41" s="30"/>
      <c r="J41" s="33" t="str">
        <f t="shared" si="6"/>
        <v>fe_#00000</v>
      </c>
      <c r="K41" s="33" t="str">
        <f t="shared" si="7"/>
        <v xml:space="preserve">[COMMIT] </v>
      </c>
      <c r="L41" s="33" t="str">
        <f t="shared" si="8"/>
        <v>TAG-LO-PH-STEP-</v>
      </c>
    </row>
    <row r="42" spans="1:12" s="4" customFormat="1" ht="12.4" thickBot="1">
      <c r="A42" s="4">
        <f t="shared" si="0"/>
        <v>19</v>
      </c>
      <c r="B42" s="29"/>
      <c r="C42" s="30"/>
      <c r="D42" s="31"/>
      <c r="E42" s="31"/>
      <c r="F42" s="31"/>
      <c r="G42" s="32"/>
      <c r="H42" s="30"/>
      <c r="I42" s="30"/>
      <c r="J42" s="33" t="str">
        <f t="shared" si="6"/>
        <v>fe_#00000</v>
      </c>
      <c r="K42" s="33" t="str">
        <f t="shared" si="7"/>
        <v xml:space="preserve">[COMMIT] </v>
      </c>
      <c r="L42" s="33" t="str">
        <f t="shared" si="8"/>
        <v>TAG-LO-PH-STEP-</v>
      </c>
    </row>
    <row r="43" spans="1:12" s="4" customFormat="1" ht="12.4" thickBot="1">
      <c r="A43" s="4">
        <f t="shared" si="0"/>
        <v>20</v>
      </c>
      <c r="B43" s="29"/>
      <c r="C43" s="30"/>
      <c r="D43" s="31"/>
      <c r="E43" s="31"/>
      <c r="F43" s="31"/>
      <c r="G43" s="32"/>
      <c r="H43" s="30"/>
      <c r="I43" s="30"/>
      <c r="J43" s="33" t="str">
        <f t="shared" si="6"/>
        <v>fe_#00000</v>
      </c>
      <c r="K43" s="33" t="str">
        <f t="shared" si="7"/>
        <v xml:space="preserve">[COMMIT] </v>
      </c>
      <c r="L43" s="33" t="str">
        <f t="shared" si="8"/>
        <v>TAG-LO-PH-STEP-</v>
      </c>
    </row>
    <row r="44" spans="1:12" s="4" customFormat="1" ht="12.4" thickBot="1">
      <c r="A44" s="4">
        <f t="shared" si="0"/>
        <v>21</v>
      </c>
      <c r="B44" s="29"/>
      <c r="C44" s="30"/>
      <c r="D44" s="31"/>
      <c r="E44" s="31"/>
      <c r="F44" s="31"/>
      <c r="G44" s="32"/>
      <c r="H44" s="30"/>
      <c r="I44" s="30"/>
      <c r="J44" s="33" t="str">
        <f t="shared" si="6"/>
        <v>fe_#00000</v>
      </c>
      <c r="K44" s="33" t="str">
        <f t="shared" si="7"/>
        <v xml:space="preserve">[COMMIT] </v>
      </c>
      <c r="L44" s="33" t="str">
        <f t="shared" si="8"/>
        <v>TAG-LO-PH-STEP-</v>
      </c>
    </row>
  </sheetData>
  <mergeCells count="15">
    <mergeCell ref="D19:I19"/>
    <mergeCell ref="D5:I5"/>
    <mergeCell ref="D6:I6"/>
    <mergeCell ref="D7:I7"/>
    <mergeCell ref="D8:I8"/>
    <mergeCell ref="D14:I14"/>
    <mergeCell ref="D15:I15"/>
    <mergeCell ref="D16:I16"/>
    <mergeCell ref="D17:I17"/>
    <mergeCell ref="D18:I18"/>
    <mergeCell ref="J10:Y10"/>
    <mergeCell ref="J9:Y9"/>
    <mergeCell ref="D9:I9"/>
    <mergeCell ref="D10:I10"/>
    <mergeCell ref="D13:I13"/>
  </mergeCells>
  <phoneticPr fontId="1"/>
  <dataValidations count="2">
    <dataValidation type="list" allowBlank="1" showInputMessage="1" showErrorMessage="1" sqref="D8 D17:D19" xr:uid="{B4A3B225-9897-40C9-94F4-263A99389ED8}">
      <formula1>"YES,NO"</formula1>
    </dataValidation>
    <dataValidation type="list" allowBlank="1" showInputMessage="1" showErrorMessage="1" sqref="B24:B44" xr:uid="{FF15CE8E-900C-4BD0-875B-103EF6BC0BC6}">
      <formula1>"Enable,Disable"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A24:A25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F3EE-43D3-4077-AA09-E5C3BA829EAF}">
  <sheetPr codeName="Sheet3">
    <tabColor rgb="FFFF0000"/>
  </sheetPr>
  <dimension ref="A1:Y7"/>
  <sheetViews>
    <sheetView showGridLines="0" zoomScaleNormal="100" workbookViewId="0">
      <selection activeCell="Y7" sqref="Y7"/>
    </sheetView>
  </sheetViews>
  <sheetFormatPr defaultColWidth="3.5625" defaultRowHeight="15"/>
  <cols>
    <col min="1" max="1" width="3.5625" style="7"/>
    <col min="2" max="2" width="4.5" style="7" customWidth="1"/>
    <col min="3" max="3" width="18.0625" style="7" customWidth="1"/>
    <col min="4" max="22" width="3.5625" style="23"/>
    <col min="23" max="16384" width="3.5625" style="7"/>
  </cols>
  <sheetData>
    <row r="1" spans="1:25" ht="22.15">
      <c r="A1" s="8" t="s">
        <v>21</v>
      </c>
    </row>
    <row r="2" spans="1:25">
      <c r="D2" s="5" t="s">
        <v>56</v>
      </c>
    </row>
    <row r="3" spans="1:25" ht="22.9" customHeight="1" thickBot="1">
      <c r="B3" s="5"/>
      <c r="C3" s="5"/>
      <c r="D3" s="19" t="s">
        <v>51</v>
      </c>
      <c r="E3" s="19" t="s">
        <v>52</v>
      </c>
      <c r="F3" s="19" t="s">
        <v>53</v>
      </c>
      <c r="G3" s="19" t="s">
        <v>54</v>
      </c>
      <c r="H3" s="19" t="s">
        <v>55</v>
      </c>
      <c r="I3" s="20" t="s">
        <v>57</v>
      </c>
      <c r="J3" s="20" t="s">
        <v>58</v>
      </c>
      <c r="K3" s="20" t="s">
        <v>59</v>
      </c>
      <c r="L3" s="20" t="s">
        <v>60</v>
      </c>
      <c r="M3" s="20" t="s">
        <v>61</v>
      </c>
      <c r="N3" s="20" t="s">
        <v>62</v>
      </c>
      <c r="O3" s="20" t="s">
        <v>63</v>
      </c>
      <c r="P3" s="21" t="s">
        <v>64</v>
      </c>
      <c r="Q3" s="21" t="s">
        <v>65</v>
      </c>
      <c r="R3" s="22" t="s">
        <v>66</v>
      </c>
      <c r="S3" s="22" t="s">
        <v>67</v>
      </c>
      <c r="T3" s="22" t="s">
        <v>68</v>
      </c>
      <c r="U3" s="21" t="s">
        <v>69</v>
      </c>
      <c r="V3" s="21" t="s">
        <v>70</v>
      </c>
      <c r="W3" s="21" t="s">
        <v>111</v>
      </c>
    </row>
    <row r="5" spans="1:25" ht="88.15" customHeight="1" thickBot="1">
      <c r="I5" s="20" t="s">
        <v>57</v>
      </c>
      <c r="J5" s="20" t="s">
        <v>58</v>
      </c>
      <c r="L5" s="20" t="s">
        <v>60</v>
      </c>
      <c r="M5" s="20" t="s">
        <v>61</v>
      </c>
      <c r="P5" s="21" t="s">
        <v>64</v>
      </c>
      <c r="R5" s="7"/>
      <c r="S5" s="7"/>
      <c r="T5" s="22" t="s">
        <v>68</v>
      </c>
      <c r="U5" s="21" t="s">
        <v>69</v>
      </c>
    </row>
    <row r="6" spans="1:25" ht="10.15" customHeight="1">
      <c r="W6" s="23"/>
      <c r="X6" s="23"/>
    </row>
    <row r="7" spans="1:25" ht="78" customHeight="1" thickBot="1">
      <c r="I7" s="20" t="s">
        <v>57</v>
      </c>
      <c r="J7" s="20" t="s">
        <v>58</v>
      </c>
      <c r="L7" s="20" t="s">
        <v>60</v>
      </c>
      <c r="M7" s="20" t="s">
        <v>61</v>
      </c>
      <c r="P7" s="21" t="s">
        <v>64</v>
      </c>
      <c r="R7" s="22" t="s">
        <v>66</v>
      </c>
      <c r="S7" s="22" t="s">
        <v>67</v>
      </c>
      <c r="T7" s="22" t="s">
        <v>68</v>
      </c>
      <c r="V7" s="21" t="s">
        <v>70</v>
      </c>
      <c r="Y7" s="7" t="s">
        <v>125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eleteBranch_Click">
                <anchor moveWithCells="1" sizeWithCells="1">
                  <from>
                    <xdr:col>1</xdr:col>
                    <xdr:colOff>66675</xdr:colOff>
                    <xdr:row>4</xdr:row>
                    <xdr:rowOff>461963</xdr:rowOff>
                  </from>
                  <to>
                    <xdr:col>2</xdr:col>
                    <xdr:colOff>1290638</xdr:colOff>
                    <xdr:row>4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DeleteTag_Click">
                <anchor moveWithCells="1" sizeWithCells="1">
                  <from>
                    <xdr:col>1</xdr:col>
                    <xdr:colOff>95250</xdr:colOff>
                    <xdr:row>6</xdr:row>
                    <xdr:rowOff>371475</xdr:rowOff>
                  </from>
                  <to>
                    <xdr:col>2</xdr:col>
                    <xdr:colOff>1309688</xdr:colOff>
                    <xdr:row>6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F479D-B66A-4F90-B672-7C151CF8EC45}">
  <sheetPr codeName="Sheet4"/>
  <dimension ref="A1:M88"/>
  <sheetViews>
    <sheetView showGridLines="0" zoomScaleNormal="100" workbookViewId="0"/>
  </sheetViews>
  <sheetFormatPr defaultRowHeight="15"/>
  <cols>
    <col min="1" max="1" width="3.75" style="28" customWidth="1"/>
    <col min="2" max="2" width="9" style="28"/>
    <col min="3" max="3" width="20.5" style="28" customWidth="1"/>
    <col min="4" max="16384" width="9" style="28"/>
  </cols>
  <sheetData>
    <row r="1" spans="1:10" ht="18.75">
      <c r="A1" s="37" t="s">
        <v>88</v>
      </c>
    </row>
    <row r="2" spans="1:10">
      <c r="A2" s="26" t="s">
        <v>37</v>
      </c>
      <c r="B2" s="26" t="s">
        <v>91</v>
      </c>
    </row>
    <row r="4" spans="1:10" ht="15.4" thickBot="1">
      <c r="B4" s="1" t="s">
        <v>16</v>
      </c>
      <c r="C4" s="2"/>
      <c r="D4" s="2"/>
      <c r="E4" s="2"/>
      <c r="F4" s="2"/>
      <c r="G4" s="2"/>
      <c r="H4" s="2"/>
      <c r="I4" s="2"/>
      <c r="J4" s="28" t="s">
        <v>89</v>
      </c>
    </row>
    <row r="5" spans="1:10" ht="18.75" customHeight="1" thickBot="1">
      <c r="B5" s="4"/>
      <c r="C5" s="13" t="s">
        <v>41</v>
      </c>
      <c r="D5" s="42" t="s">
        <v>36</v>
      </c>
      <c r="E5" s="43"/>
      <c r="F5" s="43"/>
      <c r="G5" s="43"/>
      <c r="H5" s="44"/>
      <c r="I5" s="45"/>
      <c r="J5" s="28" t="s">
        <v>90</v>
      </c>
    </row>
    <row r="6" spans="1:10" ht="22.5" customHeight="1" thickBot="1">
      <c r="B6" s="4"/>
      <c r="C6" s="13" t="s">
        <v>40</v>
      </c>
      <c r="D6" s="42" t="s">
        <v>9</v>
      </c>
      <c r="E6" s="43"/>
      <c r="F6" s="43"/>
      <c r="G6" s="43"/>
      <c r="H6" s="44"/>
      <c r="I6" s="45"/>
      <c r="J6" s="28" t="s">
        <v>90</v>
      </c>
    </row>
    <row r="7" spans="1:10" ht="12.4" customHeight="1" thickBot="1">
      <c r="B7" s="4"/>
      <c r="C7" s="13" t="s">
        <v>34</v>
      </c>
      <c r="D7" s="42"/>
      <c r="E7" s="43"/>
      <c r="F7" s="43"/>
      <c r="G7" s="43"/>
      <c r="H7" s="44"/>
      <c r="I7" s="45"/>
      <c r="J7" s="28" t="s">
        <v>90</v>
      </c>
    </row>
    <row r="8" spans="1:10" ht="18" thickBot="1">
      <c r="B8" s="4"/>
      <c r="C8" s="13" t="s">
        <v>0</v>
      </c>
      <c r="D8" s="42" t="s">
        <v>81</v>
      </c>
      <c r="E8" s="44"/>
      <c r="F8" s="44"/>
      <c r="G8" s="44"/>
      <c r="H8" s="44"/>
      <c r="I8" s="45"/>
      <c r="J8" s="28" t="s">
        <v>90</v>
      </c>
    </row>
    <row r="9" spans="1:10" ht="24.4" customHeight="1" thickBot="1">
      <c r="B9" s="4"/>
      <c r="C9" s="13" t="s">
        <v>85</v>
      </c>
      <c r="D9" s="42" t="s">
        <v>82</v>
      </c>
      <c r="E9" s="43"/>
      <c r="F9" s="43"/>
      <c r="G9" s="43"/>
      <c r="H9" s="44"/>
      <c r="I9" s="45"/>
      <c r="J9" s="28" t="s">
        <v>90</v>
      </c>
    </row>
    <row r="10" spans="1:10" ht="15.4" customHeight="1" thickBot="1">
      <c r="B10" s="4"/>
      <c r="C10" s="13" t="s">
        <v>86</v>
      </c>
      <c r="D10" s="46" t="s">
        <v>118</v>
      </c>
      <c r="E10" s="40"/>
      <c r="F10" s="40"/>
      <c r="G10" s="40"/>
      <c r="H10" s="40"/>
      <c r="I10" s="41"/>
      <c r="J10" s="28" t="s">
        <v>90</v>
      </c>
    </row>
    <row r="11" spans="1:10">
      <c r="B11" s="2"/>
      <c r="C11" s="2"/>
      <c r="D11" s="2"/>
      <c r="E11" s="2"/>
      <c r="F11" s="2"/>
      <c r="G11" s="2"/>
      <c r="H11" s="2"/>
      <c r="I11" s="2"/>
    </row>
    <row r="12" spans="1:10" ht="15.4" thickBot="1">
      <c r="B12" s="1" t="s">
        <v>17</v>
      </c>
      <c r="C12" s="2"/>
      <c r="D12" s="2"/>
      <c r="E12" s="2"/>
      <c r="F12" s="2"/>
      <c r="G12" s="2"/>
      <c r="H12" s="2"/>
      <c r="I12" s="2"/>
    </row>
    <row r="13" spans="1:10" ht="15.4" customHeight="1" thickBot="1">
      <c r="B13" s="4"/>
      <c r="C13" s="18" t="s">
        <v>5</v>
      </c>
      <c r="D13" s="47" t="s">
        <v>4</v>
      </c>
      <c r="E13" s="44"/>
      <c r="F13" s="44"/>
      <c r="G13" s="44"/>
      <c r="H13" s="44"/>
      <c r="I13" s="45"/>
      <c r="J13" s="28" t="s">
        <v>90</v>
      </c>
    </row>
    <row r="14" spans="1:10" ht="15.4" customHeight="1" thickBot="1">
      <c r="B14" s="4"/>
      <c r="C14" s="18" t="s">
        <v>42</v>
      </c>
      <c r="D14" s="47" t="s">
        <v>10</v>
      </c>
      <c r="E14" s="44"/>
      <c r="F14" s="44"/>
      <c r="G14" s="44"/>
      <c r="H14" s="44"/>
      <c r="I14" s="45"/>
      <c r="J14" s="28" t="s">
        <v>90</v>
      </c>
    </row>
    <row r="15" spans="1:10" ht="18" thickBot="1">
      <c r="B15" s="4"/>
      <c r="C15" s="18" t="s">
        <v>43</v>
      </c>
      <c r="D15" s="47" t="s">
        <v>20</v>
      </c>
      <c r="E15" s="44"/>
      <c r="F15" s="44"/>
      <c r="G15" s="44"/>
      <c r="H15" s="44"/>
      <c r="I15" s="45"/>
      <c r="J15" s="28" t="s">
        <v>90</v>
      </c>
    </row>
    <row r="16" spans="1:10" ht="18" thickBot="1">
      <c r="B16" s="4"/>
      <c r="C16" s="18" t="s">
        <v>44</v>
      </c>
      <c r="D16" s="47" t="s">
        <v>75</v>
      </c>
      <c r="E16" s="44"/>
      <c r="F16" s="44"/>
      <c r="G16" s="44"/>
      <c r="H16" s="44"/>
      <c r="I16" s="45"/>
      <c r="J16" s="28" t="s">
        <v>90</v>
      </c>
    </row>
    <row r="17" spans="1:13" ht="18" thickBot="1">
      <c r="B17" s="4"/>
      <c r="C17" s="18" t="s">
        <v>19</v>
      </c>
      <c r="D17" s="48" t="s">
        <v>25</v>
      </c>
      <c r="E17" s="44"/>
      <c r="F17" s="44"/>
      <c r="G17" s="44"/>
      <c r="H17" s="44"/>
      <c r="I17" s="45"/>
      <c r="J17" s="28" t="s">
        <v>90</v>
      </c>
    </row>
    <row r="18" spans="1:13" ht="18" thickBot="1">
      <c r="B18" s="4"/>
      <c r="C18" s="18" t="s">
        <v>72</v>
      </c>
      <c r="D18" s="48" t="s">
        <v>25</v>
      </c>
      <c r="E18" s="44"/>
      <c r="F18" s="44"/>
      <c r="G18" s="44"/>
      <c r="H18" s="44"/>
      <c r="I18" s="45"/>
      <c r="J18" s="28" t="s">
        <v>90</v>
      </c>
    </row>
    <row r="19" spans="1:13" ht="18" thickBot="1">
      <c r="B19" s="4"/>
      <c r="C19" s="18" t="s">
        <v>31</v>
      </c>
      <c r="D19" s="47" t="s">
        <v>25</v>
      </c>
      <c r="E19" s="44"/>
      <c r="F19" s="44"/>
      <c r="G19" s="44"/>
      <c r="H19" s="44"/>
      <c r="I19" s="45"/>
      <c r="J19" s="28" t="s">
        <v>90</v>
      </c>
    </row>
    <row r="22" spans="1:13">
      <c r="A22" s="27" t="s">
        <v>92</v>
      </c>
    </row>
    <row r="23" spans="1:13">
      <c r="B23" s="1" t="s">
        <v>18</v>
      </c>
      <c r="C23" s="2"/>
      <c r="D23" s="2"/>
      <c r="E23" s="2"/>
      <c r="F23" s="2"/>
      <c r="G23" s="2"/>
      <c r="H23" s="2"/>
      <c r="I23" s="2"/>
    </row>
    <row r="24" spans="1:13" ht="24.4" thickBot="1">
      <c r="B24" s="21" t="s">
        <v>22</v>
      </c>
      <c r="C24" s="21" t="s">
        <v>45</v>
      </c>
      <c r="D24" s="22" t="s">
        <v>46</v>
      </c>
      <c r="E24" s="22" t="s">
        <v>47</v>
      </c>
      <c r="F24" s="22" t="s">
        <v>48</v>
      </c>
      <c r="G24" s="21" t="s">
        <v>49</v>
      </c>
      <c r="H24" s="21" t="s">
        <v>50</v>
      </c>
      <c r="I24" s="21" t="s">
        <v>109</v>
      </c>
      <c r="J24" s="17" t="s">
        <v>28</v>
      </c>
      <c r="K24" s="17" t="s">
        <v>29</v>
      </c>
      <c r="L24" s="17" t="s">
        <v>30</v>
      </c>
      <c r="M24" s="4"/>
    </row>
    <row r="25" spans="1:13" ht="23.25" customHeight="1" thickBot="1">
      <c r="B25" s="29" t="s">
        <v>74</v>
      </c>
      <c r="C25" s="30" t="s">
        <v>26</v>
      </c>
      <c r="D25" s="31"/>
      <c r="E25" s="31"/>
      <c r="F25" s="31"/>
      <c r="G25" s="32"/>
      <c r="H25" s="30"/>
      <c r="I25" s="30"/>
      <c r="J25" s="33" t="str">
        <f t="shared" ref="J25:J26" si="0">"fe_" &amp; F25 &amp; "#" &amp; TEXT(G25,"00000")</f>
        <v>fe_#00000</v>
      </c>
      <c r="K25" s="33" t="str">
        <f t="shared" ref="K25:K26" si="1">"[COMMIT] " &amp; F25</f>
        <v xml:space="preserve">[COMMIT] </v>
      </c>
      <c r="L25" s="33" t="str">
        <f>"TAG-" &amp; "LO" &amp; D25 &amp; "-PH" &amp; E25 &amp; "-STEP" &amp; H25 &amp; "-" &amp;  F25</f>
        <v>TAG-LO-PH-STEP-</v>
      </c>
      <c r="M25" s="4"/>
    </row>
    <row r="26" spans="1:13" ht="17.649999999999999" customHeight="1" thickBot="1">
      <c r="B26" s="29" t="s">
        <v>74</v>
      </c>
      <c r="C26" s="30" t="s">
        <v>87</v>
      </c>
      <c r="D26" s="31"/>
      <c r="E26" s="31"/>
      <c r="F26" s="31"/>
      <c r="G26" s="32"/>
      <c r="H26" s="30"/>
      <c r="I26" s="30"/>
      <c r="J26" s="33" t="str">
        <f t="shared" si="0"/>
        <v>fe_#00000</v>
      </c>
      <c r="K26" s="33" t="str">
        <f t="shared" si="1"/>
        <v xml:space="preserve">[COMMIT] </v>
      </c>
      <c r="L26" s="33" t="str">
        <f t="shared" ref="L26" si="2">"TAG-" &amp; "LO" &amp; D26 &amp; "-PH" &amp; E26 &amp; "-STEP" &amp; H26 &amp; "-" &amp;  F26</f>
        <v>TAG-LO-PH-STEP-</v>
      </c>
      <c r="M26" s="4"/>
    </row>
    <row r="27" spans="1:13" ht="20.25" customHeight="1" thickBot="1">
      <c r="B27" s="29" t="s">
        <v>74</v>
      </c>
      <c r="C27" s="30" t="s">
        <v>100</v>
      </c>
      <c r="D27" s="31"/>
      <c r="E27" s="31"/>
      <c r="F27" s="31"/>
      <c r="G27" s="32"/>
      <c r="H27" s="30"/>
      <c r="I27" s="30"/>
      <c r="J27" s="33" t="str">
        <f t="shared" ref="J27" si="3">"fe_" &amp; F27 &amp; "#" &amp; TEXT(G27,"00000")</f>
        <v>fe_#00000</v>
      </c>
      <c r="K27" s="33" t="str">
        <f t="shared" ref="K27" si="4">"[COMMIT] " &amp; F27</f>
        <v xml:space="preserve">[COMMIT] </v>
      </c>
      <c r="L27" s="33" t="str">
        <f t="shared" ref="L27" si="5">"TAG-" &amp; "LO" &amp; D27 &amp; "-PH" &amp; E27 &amp; "-STEP" &amp; H27 &amp; "-" &amp;  F27</f>
        <v>TAG-LO-PH-STEP-</v>
      </c>
      <c r="M27" s="4"/>
    </row>
    <row r="30" spans="1:13">
      <c r="A30" s="35" t="s">
        <v>97</v>
      </c>
    </row>
    <row r="32" spans="1:13">
      <c r="A32" s="27" t="s">
        <v>93</v>
      </c>
    </row>
    <row r="33" spans="1:13" ht="15.4" thickBot="1">
      <c r="A33" s="27" t="s">
        <v>94</v>
      </c>
    </row>
    <row r="34" spans="1:13" ht="24.75" customHeight="1" thickBot="1">
      <c r="B34" s="29" t="s">
        <v>74</v>
      </c>
      <c r="C34" s="30"/>
      <c r="D34" s="31" t="s">
        <v>8</v>
      </c>
      <c r="E34" s="31" t="s">
        <v>8</v>
      </c>
      <c r="F34" s="31" t="s">
        <v>3</v>
      </c>
      <c r="G34" s="32">
        <v>1</v>
      </c>
      <c r="H34" s="30" t="s">
        <v>95</v>
      </c>
      <c r="I34" s="30"/>
      <c r="J34" s="33" t="str">
        <f t="shared" ref="J34:J35" si="6">"fe_" &amp; F34 &amp; "#" &amp; TEXT(G34,"00000")</f>
        <v>fe_PID_1#00001</v>
      </c>
      <c r="K34" s="33" t="str">
        <f t="shared" ref="K34:K35" si="7">"[COMMIT] " &amp; F34</f>
        <v>[COMMIT] PID_1</v>
      </c>
      <c r="L34" s="33" t="str">
        <f t="shared" ref="L34:L40" si="8">"TAG-" &amp; "LO" &amp; D34 &amp; "-PH" &amp; E34 &amp; "-STEP" &amp; H34 &amp; "-" &amp;  F34</f>
        <v>TAG-LO1-PH1-STEP1.1-PID_1</v>
      </c>
      <c r="M34" s="4" t="s">
        <v>98</v>
      </c>
    </row>
    <row r="35" spans="1:13" ht="24.75" customHeight="1" thickBot="1">
      <c r="B35" s="29" t="s">
        <v>74</v>
      </c>
      <c r="C35" s="30"/>
      <c r="D35" s="31" t="s">
        <v>8</v>
      </c>
      <c r="E35" s="31" t="s">
        <v>8</v>
      </c>
      <c r="F35" s="31" t="s">
        <v>96</v>
      </c>
      <c r="G35" s="32">
        <v>2</v>
      </c>
      <c r="H35" s="30" t="s">
        <v>95</v>
      </c>
      <c r="I35" s="30"/>
      <c r="J35" s="33" t="str">
        <f t="shared" si="6"/>
        <v>fe_PID_2#00002</v>
      </c>
      <c r="K35" s="33" t="str">
        <f t="shared" si="7"/>
        <v>[COMMIT] PID_2</v>
      </c>
      <c r="L35" s="33" t="str">
        <f t="shared" si="8"/>
        <v>TAG-LO1-PH1-STEP1.1-PID_2</v>
      </c>
      <c r="M35" s="4" t="s">
        <v>98</v>
      </c>
    </row>
    <row r="36" spans="1:13" ht="24.75" customHeight="1" thickBot="1">
      <c r="B36" s="29" t="s">
        <v>74</v>
      </c>
      <c r="C36" s="30"/>
      <c r="D36" s="31" t="s">
        <v>8</v>
      </c>
      <c r="E36" s="31" t="s">
        <v>8</v>
      </c>
      <c r="F36" s="31" t="s">
        <v>101</v>
      </c>
      <c r="G36" s="32">
        <v>3</v>
      </c>
      <c r="H36" s="30" t="s">
        <v>95</v>
      </c>
      <c r="I36" s="30"/>
      <c r="J36" s="33" t="str">
        <f t="shared" ref="J36:J38" si="9">"fe_" &amp; F36 &amp; "#" &amp; TEXT(G36,"00000")</f>
        <v>fe_PID_3#00003</v>
      </c>
      <c r="K36" s="33" t="str">
        <f t="shared" ref="K36:K38" si="10">"[COMMIT] " &amp; F36</f>
        <v>[COMMIT] PID_3</v>
      </c>
      <c r="L36" s="33" t="str">
        <f t="shared" si="8"/>
        <v>TAG-LO1-PH1-STEP1.1-PID_3</v>
      </c>
      <c r="M36" s="4" t="s">
        <v>98</v>
      </c>
    </row>
    <row r="37" spans="1:13" ht="24.75" customHeight="1" thickBot="1">
      <c r="B37" s="29" t="s">
        <v>74</v>
      </c>
      <c r="C37" s="30"/>
      <c r="D37" s="31" t="s">
        <v>8</v>
      </c>
      <c r="E37" s="31" t="s">
        <v>8</v>
      </c>
      <c r="F37" s="31" t="s">
        <v>3</v>
      </c>
      <c r="G37" s="32">
        <v>1</v>
      </c>
      <c r="H37" s="30" t="s">
        <v>76</v>
      </c>
      <c r="I37" s="30"/>
      <c r="J37" s="33" t="str">
        <f t="shared" si="9"/>
        <v>fe_PID_1#00001</v>
      </c>
      <c r="K37" s="33" t="str">
        <f t="shared" si="10"/>
        <v>[COMMIT] PID_1</v>
      </c>
      <c r="L37" s="33" t="str">
        <f t="shared" si="8"/>
        <v>TAG-LO1-PH1-STEP1.5-PID_1</v>
      </c>
      <c r="M37" s="4" t="s">
        <v>98</v>
      </c>
    </row>
    <row r="38" spans="1:13" ht="24.75" customHeight="1" thickBot="1">
      <c r="B38" s="29" t="s">
        <v>74</v>
      </c>
      <c r="C38" s="30"/>
      <c r="D38" s="31" t="s">
        <v>8</v>
      </c>
      <c r="E38" s="31" t="s">
        <v>8</v>
      </c>
      <c r="F38" s="31" t="s">
        <v>96</v>
      </c>
      <c r="G38" s="32">
        <v>2</v>
      </c>
      <c r="H38" s="30" t="s">
        <v>76</v>
      </c>
      <c r="I38" s="30"/>
      <c r="J38" s="33" t="str">
        <f t="shared" si="9"/>
        <v>fe_PID_2#00002</v>
      </c>
      <c r="K38" s="33" t="str">
        <f t="shared" si="10"/>
        <v>[COMMIT] PID_2</v>
      </c>
      <c r="L38" s="33" t="str">
        <f t="shared" si="8"/>
        <v>TAG-LO1-PH1-STEP1.5-PID_2</v>
      </c>
      <c r="M38" s="4" t="s">
        <v>98</v>
      </c>
    </row>
    <row r="39" spans="1:13" ht="24.75" customHeight="1" thickBot="1">
      <c r="B39" s="29" t="s">
        <v>74</v>
      </c>
      <c r="C39" s="30"/>
      <c r="D39" s="31" t="s">
        <v>8</v>
      </c>
      <c r="E39" s="31" t="s">
        <v>8</v>
      </c>
      <c r="F39" s="31" t="s">
        <v>101</v>
      </c>
      <c r="G39" s="32">
        <v>3</v>
      </c>
      <c r="H39" s="30" t="s">
        <v>76</v>
      </c>
      <c r="I39" s="30"/>
      <c r="J39" s="33" t="str">
        <f t="shared" ref="J39:J40" si="11">"fe_" &amp; F39 &amp; "#" &amp; TEXT(G39,"00000")</f>
        <v>fe_PID_3#00003</v>
      </c>
      <c r="K39" s="33" t="str">
        <f t="shared" ref="K39:K40" si="12">"[COMMIT] " &amp; F39</f>
        <v>[COMMIT] PID_3</v>
      </c>
      <c r="L39" s="33" t="str">
        <f t="shared" si="8"/>
        <v>TAG-LO1-PH1-STEP1.5-PID_3</v>
      </c>
      <c r="M39" s="4" t="s">
        <v>98</v>
      </c>
    </row>
    <row r="40" spans="1:13" ht="24.75" customHeight="1" thickBot="1">
      <c r="B40" s="29" t="s">
        <v>74</v>
      </c>
      <c r="C40" s="30"/>
      <c r="D40" s="31" t="s">
        <v>8</v>
      </c>
      <c r="E40" s="31" t="s">
        <v>8</v>
      </c>
      <c r="F40" s="31" t="s">
        <v>96</v>
      </c>
      <c r="G40" s="32">
        <v>2</v>
      </c>
      <c r="H40" s="30" t="s">
        <v>77</v>
      </c>
      <c r="I40" s="30"/>
      <c r="J40" s="33" t="str">
        <f t="shared" si="11"/>
        <v>fe_PID_2#00002</v>
      </c>
      <c r="K40" s="33" t="str">
        <f t="shared" si="12"/>
        <v>[COMMIT] PID_2</v>
      </c>
      <c r="L40" s="33" t="str">
        <f t="shared" si="8"/>
        <v>TAG-LO1-PH1-STEP1.6-PID_2</v>
      </c>
      <c r="M40" s="4" t="s">
        <v>98</v>
      </c>
    </row>
    <row r="43" spans="1:13" ht="15.4" thickBot="1">
      <c r="A43" s="27" t="s">
        <v>99</v>
      </c>
    </row>
    <row r="44" spans="1:13" ht="21.4" customHeight="1" thickBot="1">
      <c r="B44" s="29" t="s">
        <v>74</v>
      </c>
      <c r="C44" s="30" t="s">
        <v>26</v>
      </c>
      <c r="D44" s="31" t="s">
        <v>8</v>
      </c>
      <c r="E44" s="31" t="s">
        <v>8</v>
      </c>
      <c r="F44" s="31" t="s">
        <v>3</v>
      </c>
      <c r="G44" s="32">
        <v>1</v>
      </c>
      <c r="H44" s="30">
        <v>1.1000000000000001</v>
      </c>
      <c r="I44" s="30" t="s">
        <v>110</v>
      </c>
      <c r="J44" s="33" t="str">
        <f>"fe_" &amp; F44 &amp; "#" &amp; TEXT(G44,"00000")</f>
        <v>fe_PID_1#00001</v>
      </c>
      <c r="K44" s="33" t="str">
        <f>"[COMMIT] " &amp; F44</f>
        <v>[COMMIT] PID_1</v>
      </c>
      <c r="L44" s="33" t="str">
        <f>"TAG-" &amp; "LO" &amp; D44 &amp; "-PH" &amp; E44 &amp; "-STEP" &amp; H44 &amp; "-" &amp;  F44</f>
        <v>TAG-LO1-PH1-STEP1.1-PID_1</v>
      </c>
      <c r="M44" s="4"/>
    </row>
    <row r="45" spans="1:13" ht="20.65" customHeight="1" thickBot="1">
      <c r="B45" s="29" t="s">
        <v>74</v>
      </c>
      <c r="C45" s="30" t="s">
        <v>87</v>
      </c>
      <c r="D45" s="31" t="s">
        <v>8</v>
      </c>
      <c r="E45" s="31" t="s">
        <v>8</v>
      </c>
      <c r="F45" s="31" t="s">
        <v>96</v>
      </c>
      <c r="G45" s="32">
        <v>2</v>
      </c>
      <c r="H45" s="30">
        <v>1.1000000000000001</v>
      </c>
      <c r="I45" s="30" t="s">
        <v>110</v>
      </c>
      <c r="J45" s="33" t="str">
        <f>"fe_" &amp; F45 &amp; "#" &amp; TEXT(G45,"00000")</f>
        <v>fe_PID_2#00002</v>
      </c>
      <c r="K45" s="33" t="str">
        <f>"[COMMIT] " &amp; F45</f>
        <v>[COMMIT] PID_2</v>
      </c>
      <c r="L45" s="33" t="str">
        <f>"TAG-" &amp; "LO" &amp; D45 &amp; "-PH" &amp; E45 &amp; "-STEP" &amp; H45 &amp; "-" &amp;  F45</f>
        <v>TAG-LO1-PH1-STEP1.1-PID_2</v>
      </c>
      <c r="M45" s="4"/>
    </row>
    <row r="46" spans="1:13" ht="22.5" customHeight="1" thickBot="1">
      <c r="B46" s="29" t="s">
        <v>74</v>
      </c>
      <c r="C46" s="30" t="s">
        <v>100</v>
      </c>
      <c r="D46" s="31" t="s">
        <v>8</v>
      </c>
      <c r="E46" s="31" t="s">
        <v>8</v>
      </c>
      <c r="F46" s="31" t="s">
        <v>101</v>
      </c>
      <c r="G46" s="32">
        <v>3</v>
      </c>
      <c r="H46" s="30">
        <v>1.1000000000000001</v>
      </c>
      <c r="I46" s="30" t="s">
        <v>110</v>
      </c>
      <c r="J46" s="33" t="str">
        <f t="shared" ref="J46" si="13">"fe_" &amp; F46 &amp; "#" &amp; TEXT(G46,"00000")</f>
        <v>fe_PID_3#00003</v>
      </c>
      <c r="K46" s="33" t="str">
        <f t="shared" ref="K46" si="14">"[COMMIT] " &amp; F46</f>
        <v>[COMMIT] PID_3</v>
      </c>
      <c r="L46" s="33" t="str">
        <f t="shared" ref="L46" si="15">"TAG-" &amp; "LO" &amp; D46 &amp; "-PH" &amp; E46 &amp; "-STEP" &amp; H46 &amp; "-" &amp;  F46</f>
        <v>TAG-LO1-PH1-STEP1.1-PID_3</v>
      </c>
      <c r="M46" s="4"/>
    </row>
    <row r="49" spans="1:13" ht="15.4" thickBot="1">
      <c r="A49" s="27" t="s">
        <v>106</v>
      </c>
    </row>
    <row r="50" spans="1:13" ht="26.25" customHeight="1" thickBot="1">
      <c r="B50" s="29" t="s">
        <v>74</v>
      </c>
      <c r="C50" s="30"/>
      <c r="D50" s="31" t="s">
        <v>8</v>
      </c>
      <c r="E50" s="31" t="s">
        <v>8</v>
      </c>
      <c r="F50" s="31" t="s">
        <v>3</v>
      </c>
      <c r="G50" s="32">
        <v>1</v>
      </c>
      <c r="H50" s="30" t="s">
        <v>76</v>
      </c>
      <c r="I50" s="30"/>
      <c r="J50" s="33" t="str">
        <f>"fe_" &amp; F50 &amp; "#" &amp; TEXT(G50,"00000")</f>
        <v>fe_PID_1#00001</v>
      </c>
      <c r="K50" s="33" t="str">
        <f>"[COMMIT] " &amp; F50</f>
        <v>[COMMIT] PID_1</v>
      </c>
      <c r="L50" s="33" t="str">
        <f>"TAG-" &amp; "LO" &amp; D50 &amp; "-PH" &amp; E50 &amp; "-STEP" &amp; H50 &amp; "-" &amp;  F50</f>
        <v>TAG-LO1-PH1-STEP1.5-PID_1</v>
      </c>
      <c r="M50" s="4" t="s">
        <v>98</v>
      </c>
    </row>
    <row r="51" spans="1:13" ht="25.9" customHeight="1" thickBot="1">
      <c r="B51" s="29" t="s">
        <v>74</v>
      </c>
      <c r="C51" s="30"/>
      <c r="D51" s="31" t="s">
        <v>8</v>
      </c>
      <c r="E51" s="31" t="s">
        <v>8</v>
      </c>
      <c r="F51" s="31" t="s">
        <v>96</v>
      </c>
      <c r="G51" s="32">
        <v>2</v>
      </c>
      <c r="H51" s="30" t="s">
        <v>76</v>
      </c>
      <c r="I51" s="30"/>
      <c r="J51" s="33" t="str">
        <f>"fe_" &amp; F51 &amp; "#" &amp; TEXT(G51,"00000")</f>
        <v>fe_PID_2#00002</v>
      </c>
      <c r="K51" s="33" t="str">
        <f>"[COMMIT] " &amp; F51</f>
        <v>[COMMIT] PID_2</v>
      </c>
      <c r="L51" s="33" t="str">
        <f>"TAG-" &amp; "LO" &amp; D51 &amp; "-PH" &amp; E51 &amp; "-STEP" &amp; H51 &amp; "-" &amp;  F51</f>
        <v>TAG-LO1-PH1-STEP1.5-PID_2</v>
      </c>
      <c r="M51" s="4" t="s">
        <v>98</v>
      </c>
    </row>
    <row r="52" spans="1:13" ht="24.75" customHeight="1" thickBot="1">
      <c r="B52" s="29" t="s">
        <v>74</v>
      </c>
      <c r="C52" s="30"/>
      <c r="D52" s="31" t="s">
        <v>8</v>
      </c>
      <c r="E52" s="31" t="s">
        <v>8</v>
      </c>
      <c r="F52" s="31" t="s">
        <v>101</v>
      </c>
      <c r="G52" s="32">
        <v>3</v>
      </c>
      <c r="H52" s="30" t="s">
        <v>76</v>
      </c>
      <c r="I52" s="30"/>
      <c r="J52" s="33" t="str">
        <f t="shared" ref="J52" si="16">"fe_" &amp; F52 &amp; "#" &amp; TEXT(G52,"00000")</f>
        <v>fe_PID_3#00003</v>
      </c>
      <c r="K52" s="33" t="str">
        <f t="shared" ref="K52" si="17">"[COMMIT] " &amp; F52</f>
        <v>[COMMIT] PID_3</v>
      </c>
      <c r="L52" s="33" t="str">
        <f t="shared" ref="L52" si="18">"TAG-" &amp; "LO" &amp; D52 &amp; "-PH" &amp; E52 &amp; "-STEP" &amp; H52 &amp; "-" &amp;  F52</f>
        <v>TAG-LO1-PH1-STEP1.5-PID_3</v>
      </c>
      <c r="M52" s="4" t="s">
        <v>98</v>
      </c>
    </row>
    <row r="55" spans="1:13" ht="15.4" thickBot="1">
      <c r="A55" s="27" t="s">
        <v>107</v>
      </c>
    </row>
    <row r="56" spans="1:13" ht="26.25" customHeight="1" thickBot="1">
      <c r="B56" s="29" t="s">
        <v>74</v>
      </c>
      <c r="C56" s="30" t="s">
        <v>115</v>
      </c>
      <c r="D56" s="31" t="s">
        <v>8</v>
      </c>
      <c r="E56" s="31" t="s">
        <v>8</v>
      </c>
      <c r="F56" s="31" t="s">
        <v>3</v>
      </c>
      <c r="G56" s="32">
        <v>1</v>
      </c>
      <c r="H56" s="30" t="s">
        <v>77</v>
      </c>
      <c r="I56" s="30"/>
      <c r="J56" s="33" t="str">
        <f>"fe_" &amp; F56 &amp; "#" &amp; TEXT(G56,"00000")</f>
        <v>fe_PID_1#00001</v>
      </c>
      <c r="K56" s="33" t="str">
        <f>"[COMMIT] " &amp; F56</f>
        <v>[COMMIT] PID_1</v>
      </c>
      <c r="L56" s="33" t="str">
        <f>"TAG-" &amp; "LO" &amp; D56 &amp; "-PH" &amp; E56 &amp; "-STEP" &amp; H56 &amp; "-" &amp;  F56</f>
        <v>TAG-LO1-PH1-STEP1.6-PID_1</v>
      </c>
      <c r="M56" s="4" t="s">
        <v>98</v>
      </c>
    </row>
    <row r="57" spans="1:13" ht="25.9" customHeight="1" thickBot="1">
      <c r="B57" s="29" t="s">
        <v>74</v>
      </c>
      <c r="C57" s="30" t="s">
        <v>116</v>
      </c>
      <c r="D57" s="31" t="s">
        <v>8</v>
      </c>
      <c r="E57" s="31" t="s">
        <v>8</v>
      </c>
      <c r="F57" s="31" t="s">
        <v>96</v>
      </c>
      <c r="G57" s="32">
        <v>2</v>
      </c>
      <c r="H57" s="30" t="s">
        <v>77</v>
      </c>
      <c r="I57" s="30"/>
      <c r="J57" s="33" t="str">
        <f>"fe_" &amp; F57 &amp; "#" &amp; TEXT(G57,"00000")</f>
        <v>fe_PID_2#00002</v>
      </c>
      <c r="K57" s="33" t="str">
        <f>"[COMMIT] " &amp; F57</f>
        <v>[COMMIT] PID_2</v>
      </c>
      <c r="L57" s="33" t="str">
        <f>"TAG-" &amp; "LO" &amp; D57 &amp; "-PH" &amp; E57 &amp; "-STEP" &amp; H57 &amp; "-" &amp;  F57</f>
        <v>TAG-LO1-PH1-STEP1.6-PID_2</v>
      </c>
      <c r="M57" s="4" t="s">
        <v>98</v>
      </c>
    </row>
    <row r="58" spans="1:13" ht="24.75" customHeight="1" thickBot="1">
      <c r="B58" s="29" t="s">
        <v>74</v>
      </c>
      <c r="C58" s="30" t="s">
        <v>117</v>
      </c>
      <c r="D58" s="31" t="s">
        <v>8</v>
      </c>
      <c r="E58" s="31" t="s">
        <v>8</v>
      </c>
      <c r="F58" s="31" t="s">
        <v>101</v>
      </c>
      <c r="G58" s="32">
        <v>3</v>
      </c>
      <c r="H58" s="30" t="s">
        <v>77</v>
      </c>
      <c r="I58" s="30"/>
      <c r="J58" s="33" t="str">
        <f t="shared" ref="J58" si="19">"fe_" &amp; F58 &amp; "#" &amp; TEXT(G58,"00000")</f>
        <v>fe_PID_3#00003</v>
      </c>
      <c r="K58" s="33" t="str">
        <f t="shared" ref="K58" si="20">"[COMMIT] " &amp; F58</f>
        <v>[COMMIT] PID_3</v>
      </c>
      <c r="L58" s="33" t="str">
        <f t="shared" ref="L58" si="21">"TAG-" &amp; "LO" &amp; D58 &amp; "-PH" &amp; E58 &amp; "-STEP" &amp; H58 &amp; "-" &amp;  F58</f>
        <v>TAG-LO1-PH1-STEP1.6-PID_3</v>
      </c>
      <c r="M58" s="4" t="s">
        <v>98</v>
      </c>
    </row>
    <row r="61" spans="1:13" ht="15.4" thickBot="1">
      <c r="A61" s="27" t="s">
        <v>104</v>
      </c>
    </row>
    <row r="62" spans="1:13" ht="21.75" customHeight="1" thickBot="1">
      <c r="B62" s="29" t="s">
        <v>74</v>
      </c>
      <c r="C62" s="30"/>
      <c r="D62" s="31" t="s">
        <v>8</v>
      </c>
      <c r="E62" s="31" t="s">
        <v>8</v>
      </c>
      <c r="F62" s="31" t="s">
        <v>3</v>
      </c>
      <c r="G62" s="32">
        <v>1</v>
      </c>
      <c r="H62" s="30" t="s">
        <v>80</v>
      </c>
      <c r="I62" s="30"/>
      <c r="J62" s="33" t="str">
        <f>"fe_" &amp; F62 &amp; "#" &amp; TEXT(G62,"00000")</f>
        <v>fe_PID_1#00001</v>
      </c>
      <c r="K62" s="33" t="str">
        <f>"[COMMIT] " &amp; F62</f>
        <v>[COMMIT] PID_1</v>
      </c>
      <c r="L62" s="33" t="str">
        <f>"TAG-" &amp; "LO" &amp; D62 &amp; "-PH" &amp; E62 &amp; "-STEP" &amp; H62 &amp; "-" &amp;  F62</f>
        <v>TAG-LO1-PH1-STEP1.?-PID_1</v>
      </c>
      <c r="M62" s="4" t="s">
        <v>105</v>
      </c>
    </row>
    <row r="63" spans="1:13" ht="23.25" customHeight="1" thickBot="1">
      <c r="B63" s="29" t="s">
        <v>74</v>
      </c>
      <c r="C63" s="30"/>
      <c r="D63" s="31" t="s">
        <v>8</v>
      </c>
      <c r="E63" s="31" t="s">
        <v>8</v>
      </c>
      <c r="F63" s="31" t="s">
        <v>96</v>
      </c>
      <c r="G63" s="32">
        <v>2</v>
      </c>
      <c r="H63" s="30" t="s">
        <v>80</v>
      </c>
      <c r="I63" s="30"/>
      <c r="J63" s="33" t="str">
        <f>"fe_" &amp; F63 &amp; "#" &amp; TEXT(G63,"00000")</f>
        <v>fe_PID_2#00002</v>
      </c>
      <c r="K63" s="33" t="str">
        <f>"[COMMIT] " &amp; F63</f>
        <v>[COMMIT] PID_2</v>
      </c>
      <c r="L63" s="33" t="str">
        <f>"TAG-" &amp; "LO" &amp; D63 &amp; "-PH" &amp; E63 &amp; "-STEP" &amp; H63 &amp; "-" &amp;  F63</f>
        <v>TAG-LO1-PH1-STEP1.?-PID_2</v>
      </c>
      <c r="M63" s="4" t="s">
        <v>105</v>
      </c>
    </row>
    <row r="64" spans="1:13" ht="26.25" customHeight="1" thickBot="1">
      <c r="B64" s="29" t="s">
        <v>74</v>
      </c>
      <c r="C64" s="30"/>
      <c r="D64" s="31" t="s">
        <v>8</v>
      </c>
      <c r="E64" s="31" t="s">
        <v>8</v>
      </c>
      <c r="F64" s="31" t="s">
        <v>101</v>
      </c>
      <c r="G64" s="32">
        <v>3</v>
      </c>
      <c r="H64" s="30" t="s">
        <v>80</v>
      </c>
      <c r="I64" s="30"/>
      <c r="J64" s="33" t="str">
        <f t="shared" ref="J64" si="22">"fe_" &amp; F64 &amp; "#" &amp; TEXT(G64,"00000")</f>
        <v>fe_PID_3#00003</v>
      </c>
      <c r="K64" s="33" t="str">
        <f t="shared" ref="K64" si="23">"[COMMIT] " &amp; F64</f>
        <v>[COMMIT] PID_3</v>
      </c>
      <c r="L64" s="33" t="str">
        <f t="shared" ref="L64" si="24">"TAG-" &amp; "LO" &amp; D64 &amp; "-PH" &amp; E64 &amp; "-STEP" &amp; H64 &amp; "-" &amp;  F64</f>
        <v>TAG-LO1-PH1-STEP1.?-PID_3</v>
      </c>
      <c r="M64" s="4" t="s">
        <v>105</v>
      </c>
    </row>
    <row r="67" spans="1:13">
      <c r="A67" s="35" t="s">
        <v>119</v>
      </c>
    </row>
    <row r="69" spans="1:13" ht="15.4" thickBot="1">
      <c r="A69" s="27" t="s">
        <v>102</v>
      </c>
    </row>
    <row r="70" spans="1:13" ht="20.25" customHeight="1" thickBot="1">
      <c r="B70" s="29" t="s">
        <v>74</v>
      </c>
      <c r="C70" s="30" t="s">
        <v>112</v>
      </c>
      <c r="D70" s="31" t="s">
        <v>8</v>
      </c>
      <c r="E70" s="31" t="s">
        <v>8</v>
      </c>
      <c r="F70" s="31" t="s">
        <v>3</v>
      </c>
      <c r="G70" s="32">
        <v>1</v>
      </c>
      <c r="H70" s="30" t="s">
        <v>80</v>
      </c>
      <c r="I70" s="30"/>
      <c r="J70" s="33" t="str">
        <f>"fe_" &amp; F70 &amp; "#" &amp; TEXT(G70,"00000")</f>
        <v>fe_PID_1#00001</v>
      </c>
      <c r="K70" s="33" t="str">
        <f>"[COMMIT] " &amp; F70</f>
        <v>[COMMIT] PID_1</v>
      </c>
      <c r="L70" s="33" t="str">
        <f>"TAG-" &amp; "LO" &amp; D70 &amp; "-PH" &amp; E70 &amp; "-STEP" &amp; H70 &amp; "-" &amp;  F70</f>
        <v>TAG-LO1-PH1-STEP1.?-PID_1</v>
      </c>
      <c r="M70" s="4" t="s">
        <v>105</v>
      </c>
    </row>
    <row r="71" spans="1:13" ht="21" customHeight="1" thickBot="1">
      <c r="B71" s="29" t="s">
        <v>74</v>
      </c>
      <c r="C71" s="30" t="s">
        <v>113</v>
      </c>
      <c r="D71" s="31" t="s">
        <v>8</v>
      </c>
      <c r="E71" s="31" t="s">
        <v>8</v>
      </c>
      <c r="F71" s="31" t="s">
        <v>96</v>
      </c>
      <c r="G71" s="32">
        <v>2</v>
      </c>
      <c r="H71" s="30" t="s">
        <v>80</v>
      </c>
      <c r="I71" s="30"/>
      <c r="J71" s="33" t="str">
        <f>"fe_" &amp; F71 &amp; "#" &amp; TEXT(G71,"00000")</f>
        <v>fe_PID_2#00002</v>
      </c>
      <c r="K71" s="33" t="str">
        <f>"[COMMIT] " &amp; F71</f>
        <v>[COMMIT] PID_2</v>
      </c>
      <c r="L71" s="33" t="str">
        <f>"TAG-" &amp; "LO" &amp; D71 &amp; "-PH" &amp; E71 &amp; "-STEP" &amp; H71 &amp; "-" &amp;  F71</f>
        <v>TAG-LO1-PH1-STEP1.?-PID_2</v>
      </c>
      <c r="M71" s="4" t="s">
        <v>105</v>
      </c>
    </row>
    <row r="72" spans="1:13" ht="25.9" customHeight="1" thickBot="1">
      <c r="B72" s="29" t="s">
        <v>74</v>
      </c>
      <c r="C72" s="30" t="s">
        <v>114</v>
      </c>
      <c r="D72" s="31" t="s">
        <v>8</v>
      </c>
      <c r="E72" s="31" t="s">
        <v>8</v>
      </c>
      <c r="F72" s="31" t="s">
        <v>101</v>
      </c>
      <c r="G72" s="32">
        <v>3</v>
      </c>
      <c r="H72" s="30" t="s">
        <v>80</v>
      </c>
      <c r="I72" s="30"/>
      <c r="J72" s="33" t="str">
        <f t="shared" ref="J72" si="25">"fe_" &amp; F72 &amp; "#" &amp; TEXT(G72,"00000")</f>
        <v>fe_PID_3#00003</v>
      </c>
      <c r="K72" s="33" t="str">
        <f t="shared" ref="K72" si="26">"[COMMIT] " &amp; F72</f>
        <v>[COMMIT] PID_3</v>
      </c>
      <c r="L72" s="33" t="str">
        <f t="shared" ref="L72" si="27">"TAG-" &amp; "LO" &amp; D72 &amp; "-PH" &amp; E72 &amp; "-STEP" &amp; H72 &amp; "-" &amp;  F72</f>
        <v>TAG-LO1-PH1-STEP1.?-PID_3</v>
      </c>
      <c r="M72" s="4" t="s">
        <v>105</v>
      </c>
    </row>
    <row r="75" spans="1:13">
      <c r="A75" s="35" t="s">
        <v>120</v>
      </c>
    </row>
    <row r="77" spans="1:13">
      <c r="A77" s="27" t="s">
        <v>93</v>
      </c>
    </row>
    <row r="78" spans="1:13" ht="15.4" thickBot="1">
      <c r="A78" s="27" t="s">
        <v>94</v>
      </c>
    </row>
    <row r="79" spans="1:13" ht="24.75" customHeight="1" thickBot="1">
      <c r="B79" s="29" t="s">
        <v>74</v>
      </c>
      <c r="C79" s="30"/>
      <c r="D79" s="31" t="s">
        <v>8</v>
      </c>
      <c r="E79" s="31" t="s">
        <v>8</v>
      </c>
      <c r="F79" s="31" t="s">
        <v>3</v>
      </c>
      <c r="G79" s="32">
        <v>1</v>
      </c>
      <c r="H79" s="30" t="s">
        <v>95</v>
      </c>
      <c r="I79" s="30"/>
      <c r="J79" s="33" t="str">
        <f t="shared" ref="J79:J84" si="28">"fe_" &amp; F79 &amp; "#" &amp; TEXT(G79,"00000")</f>
        <v>fe_PID_1#00001</v>
      </c>
      <c r="K79" s="33" t="str">
        <f t="shared" ref="K79:K84" si="29">"[COMMIT] " &amp; F79</f>
        <v>[COMMIT] PID_1</v>
      </c>
      <c r="L79" s="33" t="str">
        <f t="shared" ref="L79:L85" si="30">"TAG-" &amp; "LO" &amp; D79 &amp; "-PH" &amp; E79 &amp; "-STEP" &amp; H79 &amp; "-" &amp;  F79</f>
        <v>TAG-LO1-PH1-STEP1.1-PID_1</v>
      </c>
      <c r="M79" s="4" t="s">
        <v>98</v>
      </c>
    </row>
    <row r="80" spans="1:13" ht="24.75" customHeight="1" thickBot="1">
      <c r="B80" s="29" t="s">
        <v>74</v>
      </c>
      <c r="C80" s="30"/>
      <c r="D80" s="31" t="s">
        <v>8</v>
      </c>
      <c r="E80" s="31" t="s">
        <v>8</v>
      </c>
      <c r="F80" s="31" t="s">
        <v>96</v>
      </c>
      <c r="G80" s="32">
        <v>2</v>
      </c>
      <c r="H80" s="30" t="s">
        <v>95</v>
      </c>
      <c r="I80" s="30"/>
      <c r="J80" s="33" t="str">
        <f t="shared" si="28"/>
        <v>fe_PID_2#00002</v>
      </c>
      <c r="K80" s="33" t="str">
        <f t="shared" si="29"/>
        <v>[COMMIT] PID_2</v>
      </c>
      <c r="L80" s="33" t="str">
        <f t="shared" si="30"/>
        <v>TAG-LO1-PH1-STEP1.1-PID_2</v>
      </c>
      <c r="M80" s="4" t="s">
        <v>98</v>
      </c>
    </row>
    <row r="81" spans="1:13" ht="24.75" customHeight="1" thickBot="1">
      <c r="B81" s="29" t="s">
        <v>74</v>
      </c>
      <c r="C81" s="30"/>
      <c r="D81" s="31" t="s">
        <v>8</v>
      </c>
      <c r="E81" s="31" t="s">
        <v>8</v>
      </c>
      <c r="F81" s="31" t="s">
        <v>101</v>
      </c>
      <c r="G81" s="32">
        <v>3</v>
      </c>
      <c r="H81" s="30" t="s">
        <v>95</v>
      </c>
      <c r="I81" s="30"/>
      <c r="J81" s="33" t="str">
        <f t="shared" si="28"/>
        <v>fe_PID_3#00003</v>
      </c>
      <c r="K81" s="33" t="str">
        <f t="shared" si="29"/>
        <v>[COMMIT] PID_3</v>
      </c>
      <c r="L81" s="33" t="str">
        <f t="shared" si="30"/>
        <v>TAG-LO1-PH1-STEP1.1-PID_3</v>
      </c>
      <c r="M81" s="4" t="s">
        <v>98</v>
      </c>
    </row>
    <row r="82" spans="1:13" ht="24.75" customHeight="1" thickBot="1">
      <c r="B82" s="29" t="s">
        <v>74</v>
      </c>
      <c r="C82" s="30"/>
      <c r="D82" s="31" t="s">
        <v>8</v>
      </c>
      <c r="E82" s="31" t="s">
        <v>8</v>
      </c>
      <c r="F82" s="31" t="s">
        <v>3</v>
      </c>
      <c r="G82" s="32">
        <v>1</v>
      </c>
      <c r="H82" s="30" t="s">
        <v>76</v>
      </c>
      <c r="I82" s="30"/>
      <c r="J82" s="33" t="str">
        <f t="shared" si="28"/>
        <v>fe_PID_1#00001</v>
      </c>
      <c r="K82" s="33" t="str">
        <f t="shared" si="29"/>
        <v>[COMMIT] PID_1</v>
      </c>
      <c r="L82" s="33" t="str">
        <f t="shared" si="30"/>
        <v>TAG-LO1-PH1-STEP1.5-PID_1</v>
      </c>
      <c r="M82" s="4" t="s">
        <v>98</v>
      </c>
    </row>
    <row r="83" spans="1:13" ht="24.75" customHeight="1" thickBot="1">
      <c r="B83" s="29" t="s">
        <v>74</v>
      </c>
      <c r="C83" s="30"/>
      <c r="D83" s="31" t="s">
        <v>8</v>
      </c>
      <c r="E83" s="31" t="s">
        <v>8</v>
      </c>
      <c r="F83" s="31" t="s">
        <v>96</v>
      </c>
      <c r="G83" s="32">
        <v>2</v>
      </c>
      <c r="H83" s="30" t="s">
        <v>76</v>
      </c>
      <c r="I83" s="30"/>
      <c r="J83" s="33" t="str">
        <f t="shared" si="28"/>
        <v>fe_PID_2#00002</v>
      </c>
      <c r="K83" s="33" t="str">
        <f t="shared" si="29"/>
        <v>[COMMIT] PID_2</v>
      </c>
      <c r="L83" s="33" t="str">
        <f t="shared" si="30"/>
        <v>TAG-LO1-PH1-STEP1.5-PID_2</v>
      </c>
      <c r="M83" s="4" t="s">
        <v>98</v>
      </c>
    </row>
    <row r="84" spans="1:13" ht="24.75" customHeight="1" thickBot="1">
      <c r="B84" s="29" t="s">
        <v>74</v>
      </c>
      <c r="C84" s="30"/>
      <c r="D84" s="31" t="s">
        <v>8</v>
      </c>
      <c r="E84" s="31" t="s">
        <v>8</v>
      </c>
      <c r="F84" s="31" t="s">
        <v>101</v>
      </c>
      <c r="G84" s="32">
        <v>3</v>
      </c>
      <c r="H84" s="30" t="s">
        <v>76</v>
      </c>
      <c r="I84" s="30"/>
      <c r="J84" s="33" t="str">
        <f t="shared" si="28"/>
        <v>fe_PID_3#00003</v>
      </c>
      <c r="K84" s="33" t="str">
        <f t="shared" si="29"/>
        <v>[COMMIT] PID_3</v>
      </c>
      <c r="L84" s="33" t="str">
        <f t="shared" si="30"/>
        <v>TAG-LO1-PH1-STEP1.5-PID_3</v>
      </c>
      <c r="M84" s="4" t="s">
        <v>98</v>
      </c>
    </row>
    <row r="85" spans="1:13" ht="24.75" customHeight="1" thickBot="1">
      <c r="B85" s="29" t="s">
        <v>74</v>
      </c>
      <c r="C85" s="30"/>
      <c r="D85" s="31" t="s">
        <v>8</v>
      </c>
      <c r="E85" s="31" t="s">
        <v>8</v>
      </c>
      <c r="F85" s="31" t="s">
        <v>96</v>
      </c>
      <c r="G85" s="32">
        <v>2</v>
      </c>
      <c r="H85" s="30" t="s">
        <v>77</v>
      </c>
      <c r="I85" s="30"/>
      <c r="J85" s="33" t="str">
        <f t="shared" ref="J85" si="31">"fe_" &amp; F85 &amp; "#" &amp; TEXT(G85,"00000")</f>
        <v>fe_PID_2#00002</v>
      </c>
      <c r="K85" s="33" t="str">
        <f t="shared" ref="K85" si="32">"[COMMIT] " &amp; F85</f>
        <v>[COMMIT] PID_2</v>
      </c>
      <c r="L85" s="33" t="str">
        <f t="shared" si="30"/>
        <v>TAG-LO1-PH1-STEP1.6-PID_2</v>
      </c>
      <c r="M85" s="4" t="s">
        <v>98</v>
      </c>
    </row>
    <row r="87" spans="1:13">
      <c r="A87" s="27" t="s">
        <v>121</v>
      </c>
    </row>
    <row r="88" spans="1:13">
      <c r="B88" s="28" t="s">
        <v>122</v>
      </c>
    </row>
  </sheetData>
  <mergeCells count="13">
    <mergeCell ref="D19:I19"/>
    <mergeCell ref="D5:I5"/>
    <mergeCell ref="D6:I6"/>
    <mergeCell ref="D7:I7"/>
    <mergeCell ref="D8:I8"/>
    <mergeCell ref="D9:I9"/>
    <mergeCell ref="D10:I10"/>
    <mergeCell ref="D13:I13"/>
    <mergeCell ref="D14:I14"/>
    <mergeCell ref="D15:I15"/>
    <mergeCell ref="D16:I16"/>
    <mergeCell ref="D17:I17"/>
    <mergeCell ref="D18:I18"/>
  </mergeCells>
  <phoneticPr fontId="1"/>
  <dataValidations count="2">
    <dataValidation type="list" allowBlank="1" showInputMessage="1" showErrorMessage="1" sqref="D8 D17:D19" xr:uid="{6F3BFC9F-601D-4192-8019-C77906569FCA}">
      <formula1>"YES,NO"</formula1>
    </dataValidation>
    <dataValidation type="list" allowBlank="1" showInputMessage="1" showErrorMessage="1" sqref="B50:B52 B25:B27 B44:B46 B56:B58 B70:B72 B62:B64 B79:B85 B34:B40" xr:uid="{2B105227-98A2-419D-A181-152CD0B09737}">
      <formula1>"Enable,Disable"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params</vt:lpstr>
      <vt:lpstr>danger_zone</vt:lpstr>
      <vt:lpstr>デグレ確認手順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2023-09-16T21:33:20Z</dcterms:modified>
</cp:coreProperties>
</file>